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ample data" sheetId="2" r:id="rId6"/>
    <sheet state="visible" name="Sheet4" sheetId="3" r:id="rId7"/>
    <sheet state="visible" name="Sheet5" sheetId="4" r:id="rId8"/>
    <sheet state="hidden" name="Sheet2" sheetId="5" r:id="rId9"/>
  </sheets>
  <definedNames>
    <definedName hidden="1" localSheetId="0" name="_xlnm._FilterDatabase">Sheet1!$A$1:$E$13</definedName>
  </definedNames>
  <calcPr/>
</workbook>
</file>

<file path=xl/sharedStrings.xml><?xml version="1.0" encoding="utf-8"?>
<sst xmlns="http://schemas.openxmlformats.org/spreadsheetml/2006/main" count="448" uniqueCount="268">
  <si>
    <t>debit_reason</t>
  </si>
  <si>
    <t>awb_num</t>
  </si>
  <si>
    <t>Debit reason</t>
  </si>
  <si>
    <t>audit_dt</t>
  </si>
  <si>
    <t>amount_rs</t>
  </si>
  <si>
    <t>hub</t>
  </si>
  <si>
    <t>image_1</t>
  </si>
  <si>
    <t>image_2</t>
  </si>
  <si>
    <t>image_3</t>
  </si>
  <si>
    <t>image_4</t>
  </si>
  <si>
    <t>reverse_lofp_fe</t>
  </si>
  <si>
    <t>price</t>
  </si>
  <si>
    <t>VLR082406378860</t>
  </si>
  <si>
    <t>md kamal uddin -6290954573</t>
  </si>
  <si>
    <t>VLR082408131054</t>
  </si>
  <si>
    <t>anurag tilawdiya-8461097157</t>
  </si>
  <si>
    <t>VLR082408194714</t>
  </si>
  <si>
    <t>narendra kumar bhargava-9024754004</t>
  </si>
  <si>
    <t>VLR082411058372</t>
  </si>
  <si>
    <t>preetam-9521480144</t>
  </si>
  <si>
    <t>VLR082412795811</t>
  </si>
  <si>
    <t>rajasekar a-8531987157</t>
  </si>
  <si>
    <t>VLR082411474872</t>
  </si>
  <si>
    <t>sonu kushwah-9243989640</t>
  </si>
  <si>
    <t>VLR082414326682</t>
  </si>
  <si>
    <t>nathu ram dhiver-9509417717</t>
  </si>
  <si>
    <t>VLR082412043962</t>
  </si>
  <si>
    <t>anjali anjali-7827732826</t>
  </si>
  <si>
    <t>ICUD junk image</t>
  </si>
  <si>
    <t>VLR082719500815</t>
  </si>
  <si>
    <t>VLR082730980679</t>
  </si>
  <si>
    <t>pag</t>
  </si>
  <si>
    <t>Debitable entity</t>
  </si>
  <si>
    <t>https://images.meesho.com/CustomerDoorstepDeliveryImages/VL0085014117771/imageVL00850141177711.jpg</t>
  </si>
  <si>
    <t>icp</t>
  </si>
  <si>
    <t>https://images.meesho.com/CustomerDoorstepDeliveryImages/VL0085011544407/imageVL00850115444071.jpg</t>
  </si>
  <si>
    <t>Short Description</t>
  </si>
  <si>
    <t>Tip</t>
  </si>
  <si>
    <t>imagess to show</t>
  </si>
  <si>
    <t>Total images count</t>
  </si>
  <si>
    <t>Pickup images junk</t>
  </si>
  <si>
    <t>Lm FE</t>
  </si>
  <si>
    <t>https://images.meesho.com/CustomerDoorstepDeliveryImages/VL0085011544407/imageVL00850115444072.jpg</t>
  </si>
  <si>
    <t>Take a bright, clear photo showing the whole product and all edges. Do not blur.</t>
  </si>
  <si>
    <t>pickup_images</t>
  </si>
  <si>
    <t>User Pickup images</t>
  </si>
  <si>
    <t>https://images.meesho.com/CustomerDoorstepDeliveryImages/VL0085014117771/imageVL00850141177712.jpg</t>
  </si>
  <si>
    <t>ICUD images junk</t>
  </si>
  <si>
    <t>images captured during user delivery was not clear</t>
  </si>
  <si>
    <t>Show the whole packet and the label in one clear photo. Do not take a close-up of just the label.</t>
  </si>
  <si>
    <t>icud_images</t>
  </si>
  <si>
    <t>Pickup junk image</t>
  </si>
  <si>
    <t>VLR082738981967</t>
  </si>
  <si>
    <t>syz</t>
  </si>
  <si>
    <t>https://images.meesho.com/ReturnPickupImages/VLR082738981967/imageVLR0827389819671.jpg</t>
  </si>
  <si>
    <t>ICSD images junk</t>
  </si>
  <si>
    <t xml:space="preserve">Fm </t>
  </si>
  <si>
    <t>images captured during seller delivery was not clear</t>
  </si>
  <si>
    <t>Take one clear photo showing the whole item, its package, and the label. Do not just photograph the label.</t>
  </si>
  <si>
    <t>icsd_images</t>
  </si>
  <si>
    <t>Seller delivery images</t>
  </si>
  <si>
    <t>VLR082726387731</t>
  </si>
  <si>
    <t>mry</t>
  </si>
  <si>
    <t>https://images.meesho.com/CustomerDoorstepDeliveryImages/VL0085007935397/imageVL00850079353971.jpg</t>
  </si>
  <si>
    <t>https://images.meesho.com/ReturnPickupImages/VLR082738981967/imageVLR0827389819672.jpg</t>
  </si>
  <si>
    <t>Pickup vs QC mismatch</t>
  </si>
  <si>
    <t xml:space="preserve">Lm FE </t>
  </si>
  <si>
    <t>Product returned at hub was different than user pickup</t>
  </si>
  <si>
    <t>Give the hub captain the exact package you picked up from the customer.</t>
  </si>
  <si>
    <t>pickup_images, sec_qc_lm_images</t>
  </si>
  <si>
    <t>User Pickup images, Lm QC images</t>
  </si>
  <si>
    <t>https://images.meesho.com/CustomerDoorstepDeliveryImages/VL0085007935397/imageVL00850079353972.jpg</t>
  </si>
  <si>
    <t>Pickup vs QC mismatch (secondary QC answer wrong)</t>
  </si>
  <si>
    <t>LM</t>
  </si>
  <si>
    <t>Quality check was wrongly done and marked completed</t>
  </si>
  <si>
    <t>Look at the real item in your hand. Answer the questions correctly.</t>
  </si>
  <si>
    <t>catalog_images_link, pickup_images, sec_qc_lm_images</t>
  </si>
  <si>
    <t>Catalog , User Pickup images, Lm QC images</t>
  </si>
  <si>
    <t>Wrong RVP pickup</t>
  </si>
  <si>
    <t>VLR082741397175</t>
  </si>
  <si>
    <t>pas</t>
  </si>
  <si>
    <t>VLR082665517559</t>
  </si>
  <si>
    <t>https://images.meesho.com/ReturnPickupImages/VLR082741397175/imageVLR0827413971751.jpg</t>
  </si>
  <si>
    <t>Pickup questions incorrectly answered</t>
  </si>
  <si>
    <t>ros</t>
  </si>
  <si>
    <t>Fill out the form carefully.</t>
  </si>
  <si>
    <t>https://images.meesho.com/ReturnPickupImages/VLR082665517559/imageVLR0826655175591.jpg</t>
  </si>
  <si>
    <t>catalog_images_link, pickup_images</t>
  </si>
  <si>
    <t>Catalog , User Pickup images</t>
  </si>
  <si>
    <t>Lost at field</t>
  </si>
  <si>
    <t>Shipment not receievd back at your hub</t>
  </si>
  <si>
    <t>https://images.meesho.com/ReturnPickupImages/VLR082741397175/imageVLR0827413971752.jpg</t>
  </si>
  <si>
    <t>Scan every package at each handoff and keep them secure. You will be credited back if a lost package is found.</t>
  </si>
  <si>
    <t>https://images.meesho.com/ReturnPickupImages/VLR082665517559/imageVLR0826655175592.jpg</t>
  </si>
  <si>
    <t>Lm QC Secondary QC images junk</t>
  </si>
  <si>
    <t>images captured during secondary QC delivery was not clear</t>
  </si>
  <si>
    <t>Take one clear photo of the whole item showing all requested parts. Do not just show the label.</t>
  </si>
  <si>
    <t>sec_qc_lm_images</t>
  </si>
  <si>
    <t>Lm QC images</t>
  </si>
  <si>
    <t>VLR082748079241</t>
  </si>
  <si>
    <t>https://images.meesho.com/ReturnPickupImages/VLR082748079241/imageVLR0827480792411.jpg</t>
  </si>
  <si>
    <t>Fm QC Sec QC images junk</t>
  </si>
  <si>
    <t>Take one clear photo showing the whole item and readable label with all details visible.</t>
  </si>
  <si>
    <t>sec_qc_fm_images</t>
  </si>
  <si>
    <t>Fm QC images</t>
  </si>
  <si>
    <t>https://images.meesho.com/ReturnPickupImages/VLR082748079241/imageVLR0827480792412.jpg</t>
  </si>
  <si>
    <t>Fm QC Sec QC images  Vs ICSD images</t>
  </si>
  <si>
    <t>FM</t>
  </si>
  <si>
    <t>sec_qc_fm_images, icsd_images</t>
  </si>
  <si>
    <t>Fm QC images, Seller Delivery images</t>
  </si>
  <si>
    <t>Dual Scan Losses</t>
  </si>
  <si>
    <t>Shipment label and packet label did not match</t>
  </si>
  <si>
    <t>Ensure shipment packets are not tampered or changed</t>
  </si>
  <si>
    <t>VLR082752371924</t>
  </si>
  <si>
    <t>images</t>
  </si>
  <si>
    <t>lgq</t>
  </si>
  <si>
    <t>https://images.meesho.com/ReturnPickupImages/VLR082752371924/imageVLR0827523719241.jpg</t>
  </si>
  <si>
    <t>Final Copy</t>
  </si>
  <si>
    <t>images captured during user pickup was not clear</t>
  </si>
  <si>
    <t xml:space="preserve">Lm </t>
  </si>
  <si>
    <t>Complete Product  must be visible in the frame — full product, all edges. Sharp and well lit, no blur, no dark photo.</t>
  </si>
  <si>
    <t>Pickup vs QC image mismatch</t>
  </si>
  <si>
    <t>VLR082748453676</t>
  </si>
  <si>
    <t>pickup images</t>
  </si>
  <si>
    <t>sz4</t>
  </si>
  <si>
    <t>https://images.meesho.com/ReturnPickupImages/VLR082748453676/imageVLR0827484536761.jpg</t>
  </si>
  <si>
    <t>https://images.meesho.com/ReturnPickupImages/VLR082752371924/imageVLR0827523719242.jpg</t>
  </si>
  <si>
    <t>https://images.meesho.com/ReturnPickupImages/VLR082748453676/imageVLR0827484536762.jpg</t>
  </si>
  <si>
    <t>VLR082753622598</t>
  </si>
  <si>
    <t>https://images.meesho.com/ReturnPickupImages/VLR082753622598/imageVLR0827536225981.jpg</t>
  </si>
  <si>
    <t>https://images.meesho.com/SecondaryQcImages/LM/VLR082748453676/imageVLR0827484536761.jpg</t>
  </si>
  <si>
    <t>Complete packet in the frame with the AWB label readable in the same photo. A label-only close-up will be marked junk. Hold steady, keep the full packet in shot.</t>
  </si>
  <si>
    <t>icud images</t>
  </si>
  <si>
    <t xml:space="preserve">Fm QC </t>
  </si>
  <si>
    <t>Complete packet visible in one frame — full product with packaging condition and the label readable in the same shot. Not just the label.</t>
  </si>
  <si>
    <t>icsd images</t>
  </si>
  <si>
    <t>https://images.meesho.com/ReturnPickupImages/VLR082753622598/imageVLR0827536225982.jpg</t>
  </si>
  <si>
    <t>https://images.meesho.com/SecondaryQcImages/LM/VLR082748453676/imageVLR0827484536762.jpg</t>
  </si>
  <si>
    <t>Always handle the exact shipment to you hub captain which you picked up the customer</t>
  </si>
  <si>
    <t>pickup images, sec qc Lm QC images</t>
  </si>
  <si>
    <t>Secondary QC images answer must match the item physically in hand — don't pass/fail from memory or bulk-mark.</t>
  </si>
  <si>
    <t>catalog images link, pickup images, sec qc Lm QC images</t>
  </si>
  <si>
    <t>Answer to the return Questionaire carefully</t>
  </si>
  <si>
    <t>catalog images link, pickup images</t>
  </si>
  <si>
    <t>VLR082777512683</t>
  </si>
  <si>
    <t>g78</t>
  </si>
  <si>
    <t>https://images.meesho.com/ReturnPickupImages/VLR082777512683/imageVLR0827775126831.jpg</t>
  </si>
  <si>
    <t>VLR082757394936</t>
  </si>
  <si>
    <t>Scan every parcel at each handoff, keep parcels secure in transit. This amount is credited back if the parcel is later traced or returned.</t>
  </si>
  <si>
    <t>https://images.meesho.com/ReturnPickupImages/VLR082757394936/imageVLR0827573949361.jpg</t>
  </si>
  <si>
    <t>Lm QC Hub</t>
  </si>
  <si>
    <t>Complete product/packet in one clear frame at the QC bench — whole item visible, not a label crop, plus every attribute the questionnaire asks about.</t>
  </si>
  <si>
    <t>sec qc Lm QC images</t>
  </si>
  <si>
    <t>https://images.meesho.com/ReturnPickupImages/VLR082777512683/imageVLR0827775126832.jpg</t>
  </si>
  <si>
    <t>Complete packet in one frame at the Fm QC sec QC bench — full product visible with the label readable, sharp, all questionnaire attributes visible</t>
  </si>
  <si>
    <t>sec qc Fm QC images</t>
  </si>
  <si>
    <t>https://images.meesho.com/ReturnPickupImages/VLR082757394936/imageVLR0827573949362.jpg</t>
  </si>
  <si>
    <t>sec qc Fm QC images, icsd images</t>
  </si>
  <si>
    <t>Dual Scan failed shipments</t>
  </si>
  <si>
    <t>https://images.meesho.com/SecondaryQcImages/LM/VLR082777512683/imageVLR0827775126831.jpg</t>
  </si>
  <si>
    <t xml:space="preserve">Lm QC </t>
  </si>
  <si>
    <t>https://images.meesho.com/SecondaryQcImages/LM/VLR082777512683/imageVLR0827775126832.jpg</t>
  </si>
  <si>
    <t>VLR082758298818</t>
  </si>
  <si>
    <t>vyn</t>
  </si>
  <si>
    <t>https://images.meesho.com/ReturnPickupImages/VLR082758298818/imageVLR0827582988181.jpg</t>
  </si>
  <si>
    <t>https://images.meesho.com/ReturnPickupImages/VLR082758298818/imageVLR0827582988182.jpg</t>
  </si>
  <si>
    <t>VLR082762483186</t>
  </si>
  <si>
    <t>https://images.meesho.com/ReturnPickupImages/VLR082762483186/imageVLR0827624831861.jpg</t>
  </si>
  <si>
    <t>https://images.meesho.com/ReturnPickupImages/VLR082762483186/imageVLR0827624831862.jpg</t>
  </si>
  <si>
    <t>VLR082763700440</t>
  </si>
  <si>
    <t>acn</t>
  </si>
  <si>
    <t>https://images.meesho.com/ReturnPickupImages/VLR082763700440/imageVLR0827637004401.jpg</t>
  </si>
  <si>
    <t>https://images.meesho.com/ReturnPickupImages/VLR082763700440/imageVLR0827637004402.jpg</t>
  </si>
  <si>
    <t>VLR082780554235</t>
  </si>
  <si>
    <t>https://images.meesho.com/ReturnPickupImages/VLR082780554235/imageVLR0827805542351.jpg</t>
  </si>
  <si>
    <t>https://images.meesho.com/ReturnPickupImages/VLR082780554235/imageVLR0827805542352.jpg</t>
  </si>
  <si>
    <t>https://images.meesho.com/SecondaryQcImages/LM/VLR082780554235/imageVLR0827805542351.jpg</t>
  </si>
  <si>
    <t>https://images.meesho.com/SecondaryQcImages/LM/VLR082780554235/imageVLR0827805542352.jpg</t>
  </si>
  <si>
    <t>VLR082811753255</t>
  </si>
  <si>
    <t>https://images.meesho.com/ReturnPickupImages/VLR082811753255/imageVLR0828117532551.jpg</t>
  </si>
  <si>
    <t>https://images.meesho.com/ReturnPickupImages/VLR082811753255/imageVLR0828117532552.jpg</t>
  </si>
  <si>
    <t>https://images.meesho.com/SecondaryQcImages/LM/VLR082811753255/imageVLR0828117532551.jpg</t>
  </si>
  <si>
    <t>https://images.meesho.com/SecondaryQcImages/LM/VLR082811753255/imageVLR0828117532552.jpg</t>
  </si>
  <si>
    <t>VLR082820371194</t>
  </si>
  <si>
    <t>https://images.meesho.com/ReturnPickupImages/VLR082820371194/imageVLR0828203711941.jpg</t>
  </si>
  <si>
    <t>https://images.meesho.com/ReturnPickupImages/VLR082820371194/imageVLR0828203711942.jpg</t>
  </si>
  <si>
    <t>https://images.meesho.com/SecondaryQcImages/LM/VLR082820371194/imageVLR0828203711941.jpg</t>
  </si>
  <si>
    <t>https://images.meesho.com/SecondaryQcImages/LM/VLR082820371194/imageVLR0828203711942.jpg</t>
  </si>
  <si>
    <t>VLR082828771125</t>
  </si>
  <si>
    <t>https://images.meesho.com/ReturnPickupImages/VLR082828771125/imageVLR0828287711251.jpg</t>
  </si>
  <si>
    <t>https://images.meesho.com/ReturnPickupImages/VLR082828771125/imageVLR0828287711252.jpg</t>
  </si>
  <si>
    <t>https://images.meesho.com/SecondaryQcImages/LM/VLR082828771125/imageVLR0828287711251.jpg</t>
  </si>
  <si>
    <t>https://images.meesho.com/SecondaryQcImages/LM/VLR082828771125/imageVLR0828287711252.jpg</t>
  </si>
  <si>
    <t>VLR082834642033</t>
  </si>
  <si>
    <t>https://images.meesho.com/ReturnPickupImages/VLR082834642033/imageVLR0828346420331.jpg</t>
  </si>
  <si>
    <t>https://images.meesho.com/ReturnPickupImages/VLR082834642033/imageVLR0828346420332.jpg</t>
  </si>
  <si>
    <t>https://images.meesho.com/SecondaryQcImages/LM/VLR082834642033/imageVLR0828346420331.jpg</t>
  </si>
  <si>
    <t>https://images.meesho.com/SecondaryQcImages/LM/VLR082834642033/imageVLR0828346420332.jpg</t>
  </si>
  <si>
    <t>VLR082835016663</t>
  </si>
  <si>
    <t>https://images.meesho.com/ReturnPickupImages/VLR082835016663/imageVLR0828350166631.jpg</t>
  </si>
  <si>
    <t>https://images.meesho.com/ReturnPickupImages/VLR082835016663/imageVLR0828350166632.jpg</t>
  </si>
  <si>
    <t>https://images.meesho.com/SecondaryQcImages/LM/VLR082835016663/imageVLR0828350166631.jpg</t>
  </si>
  <si>
    <t>https://images.meesho.com/SecondaryQcImages/LM/VLR082835016663/imageVLR0828350166632.jpg</t>
  </si>
  <si>
    <t>VLR082733531262</t>
  </si>
  <si>
    <t>https://images.meesho.com/ReturnPickupImages/VLR082733531262/imageVLR0827335312621.jpg</t>
  </si>
  <si>
    <t>https://images.meesho.com/ReturnPickupImages/VLR082733531262/imageVLR0827335312622.jpg</t>
  </si>
  <si>
    <t>https://images.meesho.com/SecondaryQcImages/LM/VLR082733531262/imageVLR0827335312621.jpg</t>
  </si>
  <si>
    <t>https://images.meesho.com/SecondaryQcImages/LM/VLR082733531262/imageVLR0827335312622.jpg</t>
  </si>
  <si>
    <t>Wrong RVP</t>
  </si>
  <si>
    <t xml:space="preserve"> awb</t>
  </si>
  <si>
    <t>entinty</t>
  </si>
  <si>
    <t>pickup_image_1</t>
  </si>
  <si>
    <t>pickup_image_2</t>
  </si>
  <si>
    <t>pickup_image_3</t>
  </si>
  <si>
    <t>catalog_image_link</t>
  </si>
  <si>
    <t>category_question</t>
  </si>
  <si>
    <t>category_answer</t>
  </si>
  <si>
    <t>colour_question</t>
  </si>
  <si>
    <t>colour_answer</t>
  </si>
  <si>
    <t>design_question</t>
  </si>
  <si>
    <t>design_answer</t>
  </si>
  <si>
    <t>damage_question</t>
  </si>
  <si>
    <t>damage_answer</t>
  </si>
  <si>
    <t>quantity_question</t>
  </si>
  <si>
    <t>quantity_answer</t>
  </si>
  <si>
    <t>https://images.meesho.com/ReturnPickupImages/VLR082406378860/imageVLR0824063788601.jpg</t>
  </si>
  <si>
    <t>https://images.meesho.com/ReturnPickupImages/VLR082406378860/imageVLR0824063788602.jpg</t>
  </si>
  <si>
    <t>https://images.meesho.com/ReturnPickupImages/VLR082406378860/imageVLR0824063788603.jpg</t>
  </si>
  <si>
    <t>https://images.meesho.com//images/catalogs/174995192/cover/1/2/ee12346ce585f8c0783fdb12df021c636d1a243011dc1944c701688c2281e92e8e538cab1c703c226abf5014f933cfd5b22aac6b98d7d51747fc35a4ab7b5454.jpg</t>
  </si>
  <si>
    <t>category</t>
  </si>
  <si>
    <t>Same Category</t>
  </si>
  <si>
    <t>colour</t>
  </si>
  <si>
    <t>Same Colour</t>
  </si>
  <si>
    <t>design</t>
  </si>
  <si>
    <t>Same Design</t>
  </si>
  <si>
    <t>damage</t>
  </si>
  <si>
    <t>Product Not Damaged</t>
  </si>
  <si>
    <t>quantity</t>
  </si>
  <si>
    <t>Same Quantity</t>
  </si>
  <si>
    <t>https://images.meesho.com/ReturnPickupImages/VLR082408131054/imageVLR0824081310541.jpg</t>
  </si>
  <si>
    <t>https://images.meesho.com/ReturnPickupImages/VLR082408131054/imageVLR0824081310542.jpg</t>
  </si>
  <si>
    <t>https://images.meesho.com/ReturnPickupImages/VLR082408131054/imageVLR0824081310543.jpg</t>
  </si>
  <si>
    <t>https://images.meesho.com//images/catalogs/486089196/cover/1/2/7ebf5d35e70097a3661975ad3ad990d736a6f9e5eec99301bf6d8e94d357d2df74eb23cb4293005cbf822786e311306dff57dc0be4877e98d874f52c2d5debb1.jpg</t>
  </si>
  <si>
    <t>https://images.meesho.com/ReturnPickupImages/VLR082408194714/imageVLR0824081947141.jpg</t>
  </si>
  <si>
    <t>https://images.meesho.com/ReturnPickupImages/VLR082408194714/imageVLR0824081947142.jpg</t>
  </si>
  <si>
    <t>https://images.meesho.com/ReturnPickupImages/VLR082408194714/imageVLR0824081947143.jpg</t>
  </si>
  <si>
    <t>https://images.meesho.com//images/catalogs/350146284/cover/1/2/3491361268e45bb7967d3db913392cd1de0a4a160077a991c5105a6ef396ad7a1673616ee1c91da767c9f4755363dc62f00c673f955a076980598a114164bb79.jpg</t>
  </si>
  <si>
    <t>https://images.meesho.com/ReturnPickupImages/VLR082411058372/imageVLR0824110583721.jpg</t>
  </si>
  <si>
    <t>https://images.meesho.com/ReturnPickupImages/VLR082411058372/imageVLR0824110583722.jpg</t>
  </si>
  <si>
    <t>https://images.meesho.com/ReturnPickupImages/VLR082411058372/imageVLR0824110583723.jpg</t>
  </si>
  <si>
    <t>https://images.meesho.com//images/catalogs/163637607/cover/1/2/9061261093d896063dbb701205a2a9a15c0ca145b33b28ad8cd7395bbbffa86281afb1ea375c9f2fe756e809b62983c2185747b7fc37d68f94c2d69f2e58b606.jpg</t>
  </si>
  <si>
    <t>Different Colour</t>
  </si>
  <si>
    <t>https://images.meesho.com/ReturnPickupImages/VLR082411474872/imageVLR0824114748721.jpg</t>
  </si>
  <si>
    <t>https://images.meesho.com/ReturnPickupImages/VLR082411474872/imageVLR0824114748722.jpg</t>
  </si>
  <si>
    <t>https://images.meesho.com/ReturnPickupImages/VLR082411474872/imageVLR0824114748723.jpg</t>
  </si>
  <si>
    <t>https://images.meesho.com//images/catalogs/309434709/cover/1/2/1382568ccc7851e6ff283893456f9bcac4a20b5928f8771f0bdfc7d4c3d98ef1b73d7c85dd3cdb75764ddd167cdb75f8bd7beb0d7bf7b3749343af633de4a282.jpg</t>
  </si>
  <si>
    <t>https://images.meesho.com/ReturnPickupImages/VLR082412043962/imageVLR0824120439621.jpg</t>
  </si>
  <si>
    <t>https://images.meesho.com/ReturnPickupImages/VLR082412043962/imageVLR0824120439622.jpg</t>
  </si>
  <si>
    <t>https://images.meesho.com/ReturnPickupImages/VLR082412043962/imageVLR0824120439623.jpg</t>
  </si>
  <si>
    <t>https://images.meesho.com//images/catalogs/491676616/cover/1/2/81f854d9cf43b4896907fffd6951e3aed28bf6140ede22dc381546a4bfdea3a395063825cb6a827c50724f56b8d67c5683df473f8bf63f8f9ba436392b49b571.jpg</t>
  </si>
  <si>
    <t>https://images.meesho.com/ReturnPickupImages/VLR082412795811/imageVLR0824127958111.jpg</t>
  </si>
  <si>
    <t>https://images.meesho.com/ReturnPickupImages/VLR082412795811/imageVLR0824127958112.jpg</t>
  </si>
  <si>
    <t>https://images.meesho.com/ReturnPickupImages/VLR082412795811/imageVLR0824127958113.jpg</t>
  </si>
  <si>
    <t>https://images.meesho.com//images/catalogs/479714900/cover/1/2/3c3645164fb63c909d524096a4845f66117704c9f6b427e898e8507f04143ccb5358cd55b5ddf174f8a4ffcb4f981c3736a891229e24260d18a2a0cf52650774.jpg</t>
  </si>
  <si>
    <t>https://images.meesho.com/ReturnPickupImages/VLR082414326682/imageVLR0824143266821.jpg</t>
  </si>
  <si>
    <t>https://images.meesho.com/ReturnPickupImages/VLR082414326682/imageVLR0824143266822.jpg</t>
  </si>
  <si>
    <t>https://images.meesho.com/ReturnPickupImages/VLR082414326682/imageVLR0824143266823.jpg</t>
  </si>
  <si>
    <t>https://images.meesho.com//images/catalogs/274421692/cover/1/2/eb2daec43386811808d18094e21923eef5f2b24e4b429f410ca7f25aa162f6138abe8fba1c2d6c63b66cc3ed9071c50f1be964353b65c2d4089704d9c6b5ea7a.jpg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</si>
</sst>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color theme="1"/>
      <name val="Arial"/>
    </font>
    <font>
      <color theme="1"/>
      <name val="Arial"/>
      <scheme val="minor"/>
    </font>
    <font>
      <sz val="12.0"/>
      <color rgb="FF000000"/>
      <name val="Calibri"/>
    </font>
    <font>
      <color theme="1"/>
      <name val="Arial"/>
    </font>
    <font>
      <b/>
      <color theme="1"/>
      <name val="Arial"/>
      <scheme val="minor"/>
    </font>
    <font>
      <u/>
      <color rgb="FF1155CC"/>
      <name val="Arial"/>
    </font>
    <font>
      <u/>
      <sz val="12.0"/>
      <color rgb="FF000000"/>
      <name val="Calibri"/>
    </font>
    <font>
      <b/>
      <sz val="11.0"/>
      <color theme="1"/>
      <name val="Arial"/>
    </font>
    <font>
      <b/>
      <sz val="11.0"/>
      <color theme="1"/>
      <name val="Aptos Narrow"/>
    </font>
    <font>
      <sz val="11.0"/>
      <color theme="1"/>
      <name val="Aptos Narrow"/>
    </font>
    <font>
      <u/>
      <sz val="11.0"/>
      <color rgb="FF1155CC"/>
      <name val="Aptos Narrow"/>
    </font>
  </fonts>
  <fills count="6">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rgb="FFFFFF00"/>
        <bgColor rgb="FFFFFF00"/>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1" fillId="0" fontId="3" numFmtId="0" xfId="0" applyAlignment="1" applyBorder="1" applyFont="1">
      <alignment readingOrder="0" shrinkToFit="0" vertical="bottom" wrapText="0"/>
    </xf>
    <xf borderId="0" fillId="0" fontId="4" numFmtId="0" xfId="0" applyAlignment="1" applyFont="1">
      <alignment vertical="bottom"/>
    </xf>
    <xf borderId="0" fillId="0" fontId="2" numFmtId="0" xfId="0" applyAlignment="1" applyFont="1">
      <alignment shrinkToFit="0" wrapText="0"/>
    </xf>
    <xf borderId="0" fillId="2" fontId="5" numFmtId="0" xfId="0" applyAlignment="1" applyFill="1" applyFont="1">
      <alignment horizontal="center" readingOrder="0" shrinkToFit="0" wrapText="1"/>
    </xf>
    <xf borderId="1" fillId="0" fontId="3" numFmtId="164" xfId="0" applyAlignment="1" applyBorder="1" applyFont="1" applyNumberFormat="1">
      <alignment readingOrder="0" shrinkToFit="0" vertical="bottom" wrapText="0"/>
    </xf>
    <xf borderId="0" fillId="0" fontId="4" numFmtId="164" xfId="0" applyAlignment="1" applyFont="1" applyNumberFormat="1">
      <alignment horizontal="right" vertical="bottom"/>
    </xf>
    <xf borderId="0" fillId="0" fontId="4" numFmtId="0" xfId="0" applyAlignment="1" applyFont="1">
      <alignment horizontal="right" vertical="bottom"/>
    </xf>
    <xf borderId="0" fillId="2" fontId="5" numFmtId="0" xfId="0" applyAlignment="1" applyFill="1" applyFont="1">
      <alignment horizontal="center" readingOrder="0" shrinkToFit="0" wrapText="1"/>
    </xf>
    <xf borderId="0" fillId="3" fontId="2" numFmtId="0" xfId="0" applyAlignment="1" applyFill="1" applyFont="1">
      <alignment readingOrder="0" shrinkToFit="0" wrapText="1"/>
    </xf>
    <xf borderId="0" fillId="0" fontId="6" numFmtId="0" xfId="0" applyAlignment="1" applyFont="1">
      <alignment vertical="bottom"/>
    </xf>
    <xf borderId="0" fillId="3" fontId="2" numFmtId="0" xfId="0" applyAlignment="1" applyFill="1" applyFont="1">
      <alignment readingOrder="0" shrinkToFit="0" wrapText="1"/>
    </xf>
    <xf borderId="1" fillId="0" fontId="7" numFmtId="0" xfId="0" applyAlignment="1" applyBorder="1" applyFont="1">
      <alignment readingOrder="0" shrinkToFit="0" vertical="bottom" wrapText="0"/>
    </xf>
    <xf borderId="0" fillId="3" fontId="4" numFmtId="0" xfId="0" applyAlignment="1" applyFill="1" applyFont="1">
      <alignment readingOrder="0" shrinkToFit="0" vertical="bottom" wrapText="1"/>
    </xf>
    <xf borderId="0" fillId="4" fontId="2" numFmtId="0" xfId="0" applyAlignment="1" applyFill="1" applyFont="1">
      <alignment readingOrder="0" shrinkToFit="0" wrapText="1"/>
    </xf>
    <xf borderId="0" fillId="4" fontId="4" numFmtId="0" xfId="0" applyAlignment="1" applyFill="1" applyFont="1">
      <alignment readingOrder="0" shrinkToFit="0" vertical="bottom" wrapText="1"/>
    </xf>
    <xf borderId="1" fillId="0" fontId="2" numFmtId="0" xfId="0" applyAlignment="1" applyBorder="1" applyFont="1">
      <alignment shrinkToFit="0" vertical="bottom" wrapText="0"/>
    </xf>
    <xf borderId="0" fillId="4" fontId="2" numFmtId="0" xfId="0" applyAlignment="1" applyFill="1" applyFont="1">
      <alignment readingOrder="0" shrinkToFit="0" wrapText="1"/>
    </xf>
    <xf borderId="0" fillId="3" fontId="4" numFmtId="0" xfId="0" applyAlignment="1" applyFill="1" applyFont="1">
      <alignment vertical="bottom"/>
    </xf>
    <xf borderId="0" fillId="5" fontId="2" numFmtId="0" xfId="0" applyAlignment="1" applyFill="1" applyFont="1">
      <alignment readingOrder="0" shrinkToFit="0" wrapText="1"/>
    </xf>
    <xf borderId="0" fillId="5" fontId="2" numFmtId="0" xfId="0" applyAlignment="1" applyFill="1" applyFont="1">
      <alignment readingOrder="0" shrinkToFit="0" wrapText="1"/>
    </xf>
    <xf borderId="0" fillId="0" fontId="5" numFmtId="0" xfId="0" applyAlignment="1" applyFont="1">
      <alignment horizontal="center" readingOrder="0" shrinkToFit="0" wrapText="1"/>
    </xf>
    <xf borderId="0" fillId="0" fontId="5" numFmtId="0" xfId="0" applyAlignment="1" applyFont="1">
      <alignment horizontal="center" readingOrder="0" shrinkToFit="0" wrapText="1"/>
    </xf>
    <xf borderId="0" fillId="0" fontId="5"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3" fontId="4" numFmtId="0" xfId="0" applyAlignment="1" applyFill="1" applyFont="1">
      <alignment readingOrder="0" shrinkToFit="0" vertical="bottom" wrapText="1"/>
    </xf>
    <xf borderId="0" fillId="4" fontId="4" numFmtId="0" xfId="0" applyAlignment="1" applyFill="1" applyFont="1">
      <alignment readingOrder="0" shrinkToFit="0" vertical="bottom" wrapText="1"/>
    </xf>
    <xf borderId="0" fillId="3" fontId="4" numFmtId="0" xfId="0" applyAlignment="1" applyFill="1" applyFont="1">
      <alignment vertical="bottom"/>
    </xf>
    <xf borderId="0" fillId="5" fontId="1" numFmtId="0" xfId="0" applyAlignment="1" applyFill="1" applyFont="1">
      <alignment readingOrder="0" vertical="bottom"/>
    </xf>
    <xf borderId="0" fillId="0" fontId="8" numFmtId="0" xfId="0" applyAlignment="1" applyFont="1">
      <alignment vertical="bottom"/>
    </xf>
    <xf borderId="0" fillId="0" fontId="4" numFmtId="0" xfId="0" applyAlignment="1" applyFont="1">
      <alignment readingOrder="0" vertical="bottom"/>
    </xf>
    <xf borderId="0" fillId="0" fontId="8" numFmtId="0" xfId="0" applyAlignment="1" applyFont="1">
      <alignment readingOrder="0" vertical="bottom"/>
    </xf>
    <xf borderId="0" fillId="0" fontId="9" numFmtId="0" xfId="0" applyAlignment="1" applyFont="1">
      <alignment vertical="bottom"/>
    </xf>
    <xf borderId="0" fillId="0" fontId="10" numFmtId="0" xfId="0" applyAlignment="1" applyFont="1">
      <alignment readingOrder="0" vertical="bottom"/>
    </xf>
    <xf borderId="0" fillId="0" fontId="11" numFmtId="0" xfId="0" applyAlignment="1" applyFont="1">
      <alignment readingOrder="0" vertical="bottom"/>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3">
    <tableStyle count="3" pivot="0" name="Sample data-style">
      <tableStyleElement dxfId="1" type="headerRow"/>
      <tableStyleElement dxfId="2" type="firstRowStripe"/>
      <tableStyleElement dxfId="3" type="secondRowStripe"/>
    </tableStyle>
    <tableStyle count="3" pivot="0" name="Sheet2-style">
      <tableStyleElement dxfId="1" type="headerRow"/>
      <tableStyleElement dxfId="2" type="firstRowStripe"/>
      <tableStyleElement dxfId="3" type="secondRowStripe"/>
    </tableStyle>
    <tableStyle count="2" pivot="0" name="Sheet2-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5" displayName="Table_1" name="Table_1" id="1">
  <tableColumns count="9">
    <tableColumn name="debit_reason" id="1"/>
    <tableColumn name="awb_num" id="2"/>
    <tableColumn name="audit_dt" id="3"/>
    <tableColumn name="amount_rs" id="4"/>
    <tableColumn name="hub" id="5"/>
    <tableColumn name="image_1" id="6"/>
    <tableColumn name="image_2" id="7"/>
    <tableColumn name="image_3" id="8"/>
    <tableColumn name="image_4" id="9"/>
  </tableColumns>
  <tableStyleInfo name="Sample data-style" showColumnStripes="0" showFirstColumn="1" showLastColumn="1" showRowStripes="1"/>
</table>
</file>

<file path=xl/tables/table2.xml><?xml version="1.0" encoding="utf-8"?>
<table xmlns="http://schemas.openxmlformats.org/spreadsheetml/2006/main" headerRowCount="0" ref="A1:H13"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L2:L11" displayName="Table_3" name="Table_3" id="3">
  <tableColumns count="1">
    <tableColumn name="Column1" id="1"/>
  </tableColumns>
  <tableStyleInfo name="Sheet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images.meesho.com/SecondaryQcImages/LM/VLR082748453676/imageVLR0827484536761.jpg" TargetMode="External"/><Relationship Id="rId10" Type="http://schemas.openxmlformats.org/officeDocument/2006/relationships/hyperlink" Target="https://images.meesho.com/ReturnPickupImages/VLR082748453676/imageVLR0827484536762.jpg" TargetMode="External"/><Relationship Id="rId13" Type="http://schemas.openxmlformats.org/officeDocument/2006/relationships/hyperlink" Target="https://images.meesho.com/ReturnPickupImages/VLR082777512683/imageVLR0827775126831.jpg" TargetMode="External"/><Relationship Id="rId12" Type="http://schemas.openxmlformats.org/officeDocument/2006/relationships/hyperlink" Target="https://images.meesho.com/SecondaryQcImages/LM/VLR082748453676/imageVLR0827484536762.jpg" TargetMode="External"/><Relationship Id="rId1" Type="http://schemas.openxmlformats.org/officeDocument/2006/relationships/hyperlink" Target="https://images.meesho.com/CustomerDoorstepDeliveryImages/VL0085014117771/imageVL00850141177711.jpg" TargetMode="External"/><Relationship Id="rId2" Type="http://schemas.openxmlformats.org/officeDocument/2006/relationships/hyperlink" Target="https://images.meesho.com/CustomerDoorstepDeliveryImages/VL0085014117771/imageVL00850141177712.jpg" TargetMode="External"/><Relationship Id="rId3" Type="http://schemas.openxmlformats.org/officeDocument/2006/relationships/hyperlink" Target="https://images.meesho.com/CustomerDoorstepDeliveryImages/VL0085007935397/imageVL00850079353971.jpg" TargetMode="External"/><Relationship Id="rId4" Type="http://schemas.openxmlformats.org/officeDocument/2006/relationships/hyperlink" Target="https://images.meesho.com/CustomerDoorstepDeliveryImages/VL0085007935397/imageVL00850079353972.jpg" TargetMode="External"/><Relationship Id="rId9" Type="http://schemas.openxmlformats.org/officeDocument/2006/relationships/hyperlink" Target="https://images.meesho.com/ReturnPickupImages/VLR082748453676/imageVLR0827484536761.jpg" TargetMode="External"/><Relationship Id="rId15" Type="http://schemas.openxmlformats.org/officeDocument/2006/relationships/hyperlink" Target="https://images.meesho.com/SecondaryQcImages/LM/VLR082777512683/imageVLR0827775126831.jpg" TargetMode="External"/><Relationship Id="rId14" Type="http://schemas.openxmlformats.org/officeDocument/2006/relationships/hyperlink" Target="https://images.meesho.com/ReturnPickupImages/VLR082777512683/imageVLR0827775126832.jpg" TargetMode="External"/><Relationship Id="rId17" Type="http://schemas.openxmlformats.org/officeDocument/2006/relationships/drawing" Target="../drawings/drawing2.xml"/><Relationship Id="rId16" Type="http://schemas.openxmlformats.org/officeDocument/2006/relationships/hyperlink" Target="https://images.meesho.com/SecondaryQcImages/LM/VLR082777512683/imageVLR0827775126832.jpg" TargetMode="External"/><Relationship Id="rId5" Type="http://schemas.openxmlformats.org/officeDocument/2006/relationships/hyperlink" Target="https://images.meesho.com/ReturnPickupImages/VLR082665517559/imageVLR0826655175591.jpg" TargetMode="External"/><Relationship Id="rId19" Type="http://schemas.openxmlformats.org/officeDocument/2006/relationships/table" Target="../tables/table1.xml"/><Relationship Id="rId6" Type="http://schemas.openxmlformats.org/officeDocument/2006/relationships/hyperlink" Target="https://images.meesho.com/ReturnPickupImages/VLR082665517559/imageVLR0826655175592.jpg" TargetMode="External"/><Relationship Id="rId7" Type="http://schemas.openxmlformats.org/officeDocument/2006/relationships/hyperlink" Target="https://images.meesho.com/ReturnPickupImages/VLR082738981967/imageVLR0827389819671.jpg" TargetMode="External"/><Relationship Id="rId8" Type="http://schemas.openxmlformats.org/officeDocument/2006/relationships/hyperlink" Target="https://images.meesho.com/ReturnPickupImages/VLR082738981967/imageVLR0827389819672.jpg"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mages.meesho.com/SecondaryQcImages/LM/VLR082834642033/imageVLR0828346420332.jpg" TargetMode="External"/><Relationship Id="rId42" Type="http://schemas.openxmlformats.org/officeDocument/2006/relationships/hyperlink" Target="https://images.meesho.com/ReturnPickupImages/VLR082835016663/imageVLR0828350166632.jpg" TargetMode="External"/><Relationship Id="rId41" Type="http://schemas.openxmlformats.org/officeDocument/2006/relationships/hyperlink" Target="https://images.meesho.com/ReturnPickupImages/VLR082835016663/imageVLR0828350166631.jpg" TargetMode="External"/><Relationship Id="rId44" Type="http://schemas.openxmlformats.org/officeDocument/2006/relationships/hyperlink" Target="https://images.meesho.com/SecondaryQcImages/LM/VLR082835016663/imageVLR0828350166632.jpg" TargetMode="External"/><Relationship Id="rId43" Type="http://schemas.openxmlformats.org/officeDocument/2006/relationships/hyperlink" Target="https://images.meesho.com/SecondaryQcImages/LM/VLR082835016663/imageVLR0828350166631.jpg" TargetMode="External"/><Relationship Id="rId46" Type="http://schemas.openxmlformats.org/officeDocument/2006/relationships/hyperlink" Target="https://images.meesho.com/ReturnPickupImages/VLR082733531262/imageVLR0827335312622.jpg" TargetMode="External"/><Relationship Id="rId45" Type="http://schemas.openxmlformats.org/officeDocument/2006/relationships/hyperlink" Target="https://images.meesho.com/ReturnPickupImages/VLR082733531262/imageVLR0827335312621.jpg" TargetMode="External"/><Relationship Id="rId80" Type="http://schemas.openxmlformats.org/officeDocument/2006/relationships/hyperlink" Target="https://images.meesho.com//images/catalogs/274421692/cover/1/2/eb2daec43386811808d18094e21923eef5f2b24e4b429f410ca7f25aa162f6138abe8fba1c2d6c63b66cc3ed9071c50f1be964353b65c2d4089704d9c6b5ea7a.jpg" TargetMode="External"/><Relationship Id="rId81" Type="http://schemas.openxmlformats.org/officeDocument/2006/relationships/drawing" Target="../drawings/drawing3.xml"/><Relationship Id="rId1" Type="http://schemas.openxmlformats.org/officeDocument/2006/relationships/hyperlink" Target="https://images.meesho.com/CustomerDoorstepDeliveryImages/VL0085011544407/imageVL00850115444071.jpg" TargetMode="External"/><Relationship Id="rId2" Type="http://schemas.openxmlformats.org/officeDocument/2006/relationships/hyperlink" Target="https://images.meesho.com/CustomerDoorstepDeliveryImages/VL0085011544407/imageVL00850115444072.jpg" TargetMode="External"/><Relationship Id="rId3" Type="http://schemas.openxmlformats.org/officeDocument/2006/relationships/hyperlink" Target="https://images.meesho.com/ReturnPickupImages/VLR082738981967/imageVLR0827389819671.jpg" TargetMode="External"/><Relationship Id="rId4" Type="http://schemas.openxmlformats.org/officeDocument/2006/relationships/hyperlink" Target="https://images.meesho.com/ReturnPickupImages/VLR082738981967/imageVLR0827389819672.jpg" TargetMode="External"/><Relationship Id="rId9" Type="http://schemas.openxmlformats.org/officeDocument/2006/relationships/hyperlink" Target="https://images.meesho.com/ReturnPickupImages/VLR082752371924/imageVLR0827523719241.jpg" TargetMode="External"/><Relationship Id="rId48" Type="http://schemas.openxmlformats.org/officeDocument/2006/relationships/hyperlink" Target="https://images.meesho.com/SecondaryQcImages/LM/VLR082733531262/imageVLR0827335312622.jpg" TargetMode="External"/><Relationship Id="rId47" Type="http://schemas.openxmlformats.org/officeDocument/2006/relationships/hyperlink" Target="https://images.meesho.com/SecondaryQcImages/LM/VLR082733531262/imageVLR0827335312621.jpg" TargetMode="External"/><Relationship Id="rId49" Type="http://schemas.openxmlformats.org/officeDocument/2006/relationships/hyperlink" Target="https://images.meesho.com/ReturnPickupImages/VLR082406378860/imageVLR0824063788601.jpg" TargetMode="External"/><Relationship Id="rId5" Type="http://schemas.openxmlformats.org/officeDocument/2006/relationships/hyperlink" Target="https://images.meesho.com/ReturnPickupImages/VLR082741397175/imageVLR0827413971751.jpg" TargetMode="External"/><Relationship Id="rId6" Type="http://schemas.openxmlformats.org/officeDocument/2006/relationships/hyperlink" Target="https://images.meesho.com/ReturnPickupImages/VLR082741397175/imageVLR0827413971752.jpg" TargetMode="External"/><Relationship Id="rId7" Type="http://schemas.openxmlformats.org/officeDocument/2006/relationships/hyperlink" Target="https://images.meesho.com/ReturnPickupImages/VLR082748079241/imageVLR0827480792411.jpg" TargetMode="External"/><Relationship Id="rId8" Type="http://schemas.openxmlformats.org/officeDocument/2006/relationships/hyperlink" Target="https://images.meesho.com/ReturnPickupImages/VLR082748079241/imageVLR0827480792412.jpg" TargetMode="External"/><Relationship Id="rId73" Type="http://schemas.openxmlformats.org/officeDocument/2006/relationships/hyperlink" Target="https://images.meesho.com/ReturnPickupImages/VLR082412795811/imageVLR0824127958111.jpg" TargetMode="External"/><Relationship Id="rId72" Type="http://schemas.openxmlformats.org/officeDocument/2006/relationships/hyperlink" Target="https://images.meesho.com//images/catalogs/491676616/cover/1/2/81f854d9cf43b4896907fffd6951e3aed28bf6140ede22dc381546a4bfdea3a395063825cb6a827c50724f56b8d67c5683df473f8bf63f8f9ba436392b49b571.jpg" TargetMode="External"/><Relationship Id="rId31" Type="http://schemas.openxmlformats.org/officeDocument/2006/relationships/hyperlink" Target="https://images.meesho.com/SecondaryQcImages/LM/VLR082820371194/imageVLR0828203711941.jpg" TargetMode="External"/><Relationship Id="rId75" Type="http://schemas.openxmlformats.org/officeDocument/2006/relationships/hyperlink" Target="https://images.meesho.com/ReturnPickupImages/VLR082412795811/imageVLR0824127958113.jpg" TargetMode="External"/><Relationship Id="rId30" Type="http://schemas.openxmlformats.org/officeDocument/2006/relationships/hyperlink" Target="https://images.meesho.com/ReturnPickupImages/VLR082820371194/imageVLR0828203711942.jpg" TargetMode="External"/><Relationship Id="rId74" Type="http://schemas.openxmlformats.org/officeDocument/2006/relationships/hyperlink" Target="https://images.meesho.com/ReturnPickupImages/VLR082412795811/imageVLR0824127958112.jpg" TargetMode="External"/><Relationship Id="rId33" Type="http://schemas.openxmlformats.org/officeDocument/2006/relationships/hyperlink" Target="https://images.meesho.com/ReturnPickupImages/VLR082828771125/imageVLR0828287711251.jpg" TargetMode="External"/><Relationship Id="rId77" Type="http://schemas.openxmlformats.org/officeDocument/2006/relationships/hyperlink" Target="https://images.meesho.com/ReturnPickupImages/VLR082414326682/imageVLR0824143266821.jpg" TargetMode="External"/><Relationship Id="rId32" Type="http://schemas.openxmlformats.org/officeDocument/2006/relationships/hyperlink" Target="https://images.meesho.com/SecondaryQcImages/LM/VLR082820371194/imageVLR0828203711942.jpg" TargetMode="External"/><Relationship Id="rId76" Type="http://schemas.openxmlformats.org/officeDocument/2006/relationships/hyperlink" Target="https://images.meesho.com//images/catalogs/479714900/cover/1/2/3c3645164fb63c909d524096a4845f66117704c9f6b427e898e8507f04143ccb5358cd55b5ddf174f8a4ffcb4f981c3736a891229e24260d18a2a0cf52650774.jpg" TargetMode="External"/><Relationship Id="rId35" Type="http://schemas.openxmlformats.org/officeDocument/2006/relationships/hyperlink" Target="https://images.meesho.com/SecondaryQcImages/LM/VLR082828771125/imageVLR0828287711251.jpg" TargetMode="External"/><Relationship Id="rId79" Type="http://schemas.openxmlformats.org/officeDocument/2006/relationships/hyperlink" Target="https://images.meesho.com/ReturnPickupImages/VLR082414326682/imageVLR0824143266823.jpg" TargetMode="External"/><Relationship Id="rId34" Type="http://schemas.openxmlformats.org/officeDocument/2006/relationships/hyperlink" Target="https://images.meesho.com/ReturnPickupImages/VLR082828771125/imageVLR0828287711252.jpg" TargetMode="External"/><Relationship Id="rId78" Type="http://schemas.openxmlformats.org/officeDocument/2006/relationships/hyperlink" Target="https://images.meesho.com/ReturnPickupImages/VLR082414326682/imageVLR0824143266822.jpg" TargetMode="External"/><Relationship Id="rId71" Type="http://schemas.openxmlformats.org/officeDocument/2006/relationships/hyperlink" Target="https://images.meesho.com/ReturnPickupImages/VLR082412043962/imageVLR0824120439623.jpg" TargetMode="External"/><Relationship Id="rId70" Type="http://schemas.openxmlformats.org/officeDocument/2006/relationships/hyperlink" Target="https://images.meesho.com/ReturnPickupImages/VLR082412043962/imageVLR0824120439622.jpg" TargetMode="External"/><Relationship Id="rId37" Type="http://schemas.openxmlformats.org/officeDocument/2006/relationships/hyperlink" Target="https://images.meesho.com/ReturnPickupImages/VLR082834642033/imageVLR0828346420331.jpg" TargetMode="External"/><Relationship Id="rId36" Type="http://schemas.openxmlformats.org/officeDocument/2006/relationships/hyperlink" Target="https://images.meesho.com/SecondaryQcImages/LM/VLR082828771125/imageVLR0828287711252.jpg" TargetMode="External"/><Relationship Id="rId39" Type="http://schemas.openxmlformats.org/officeDocument/2006/relationships/hyperlink" Target="https://images.meesho.com/SecondaryQcImages/LM/VLR082834642033/imageVLR0828346420331.jpg" TargetMode="External"/><Relationship Id="rId38" Type="http://schemas.openxmlformats.org/officeDocument/2006/relationships/hyperlink" Target="https://images.meesho.com/ReturnPickupImages/VLR082834642033/imageVLR0828346420332.jpg" TargetMode="External"/><Relationship Id="rId62" Type="http://schemas.openxmlformats.org/officeDocument/2006/relationships/hyperlink" Target="https://images.meesho.com/ReturnPickupImages/VLR082411058372/imageVLR0824110583722.jpg" TargetMode="External"/><Relationship Id="rId61" Type="http://schemas.openxmlformats.org/officeDocument/2006/relationships/hyperlink" Target="https://images.meesho.com/ReturnPickupImages/VLR082411058372/imageVLR0824110583721.jpg" TargetMode="External"/><Relationship Id="rId20" Type="http://schemas.openxmlformats.org/officeDocument/2006/relationships/hyperlink" Target="https://images.meesho.com/ReturnPickupImages/VLR082763700440/imageVLR0827637004402.jpg" TargetMode="External"/><Relationship Id="rId64" Type="http://schemas.openxmlformats.org/officeDocument/2006/relationships/hyperlink" Target="https://images.meesho.com//images/catalogs/163637607/cover/1/2/9061261093d896063dbb701205a2a9a15c0ca145b33b28ad8cd7395bbbffa86281afb1ea375c9f2fe756e809b62983c2185747b7fc37d68f94c2d69f2e58b606.jpg" TargetMode="External"/><Relationship Id="rId63" Type="http://schemas.openxmlformats.org/officeDocument/2006/relationships/hyperlink" Target="https://images.meesho.com/ReturnPickupImages/VLR082411058372/imageVLR0824110583723.jpg" TargetMode="External"/><Relationship Id="rId22" Type="http://schemas.openxmlformats.org/officeDocument/2006/relationships/hyperlink" Target="https://images.meesho.com/ReturnPickupImages/VLR082780554235/imageVLR0827805542352.jpg" TargetMode="External"/><Relationship Id="rId66" Type="http://schemas.openxmlformats.org/officeDocument/2006/relationships/hyperlink" Target="https://images.meesho.com/ReturnPickupImages/VLR082411474872/imageVLR0824114748722.jpg" TargetMode="External"/><Relationship Id="rId21" Type="http://schemas.openxmlformats.org/officeDocument/2006/relationships/hyperlink" Target="https://images.meesho.com/ReturnPickupImages/VLR082780554235/imageVLR0827805542351.jpg" TargetMode="External"/><Relationship Id="rId65" Type="http://schemas.openxmlformats.org/officeDocument/2006/relationships/hyperlink" Target="https://images.meesho.com/ReturnPickupImages/VLR082411474872/imageVLR0824114748721.jpg" TargetMode="External"/><Relationship Id="rId24" Type="http://schemas.openxmlformats.org/officeDocument/2006/relationships/hyperlink" Target="https://images.meesho.com/SecondaryQcImages/LM/VLR082780554235/imageVLR0827805542352.jpg" TargetMode="External"/><Relationship Id="rId68" Type="http://schemas.openxmlformats.org/officeDocument/2006/relationships/hyperlink" Target="https://images.meesho.com//images/catalogs/309434709/cover/1/2/1382568ccc7851e6ff283893456f9bcac4a20b5928f8771f0bdfc7d4c3d98ef1b73d7c85dd3cdb75764ddd167cdb75f8bd7beb0d7bf7b3749343af633de4a282.jpg" TargetMode="External"/><Relationship Id="rId23" Type="http://schemas.openxmlformats.org/officeDocument/2006/relationships/hyperlink" Target="https://images.meesho.com/SecondaryQcImages/LM/VLR082780554235/imageVLR0827805542351.jpg" TargetMode="External"/><Relationship Id="rId67" Type="http://schemas.openxmlformats.org/officeDocument/2006/relationships/hyperlink" Target="https://images.meesho.com/ReturnPickupImages/VLR082411474872/imageVLR0824114748723.jpg" TargetMode="External"/><Relationship Id="rId60" Type="http://schemas.openxmlformats.org/officeDocument/2006/relationships/hyperlink" Target="https://images.meesho.com//images/catalogs/350146284/cover/1/2/3491361268e45bb7967d3db913392cd1de0a4a160077a991c5105a6ef396ad7a1673616ee1c91da767c9f4755363dc62f00c673f955a076980598a114164bb79.jpg" TargetMode="External"/><Relationship Id="rId26" Type="http://schemas.openxmlformats.org/officeDocument/2006/relationships/hyperlink" Target="https://images.meesho.com/ReturnPickupImages/VLR082811753255/imageVLR0828117532552.jpg" TargetMode="External"/><Relationship Id="rId25" Type="http://schemas.openxmlformats.org/officeDocument/2006/relationships/hyperlink" Target="https://images.meesho.com/ReturnPickupImages/VLR082811753255/imageVLR0828117532551.jpg" TargetMode="External"/><Relationship Id="rId69" Type="http://schemas.openxmlformats.org/officeDocument/2006/relationships/hyperlink" Target="https://images.meesho.com/ReturnPickupImages/VLR082412043962/imageVLR0824120439621.jpg" TargetMode="External"/><Relationship Id="rId28" Type="http://schemas.openxmlformats.org/officeDocument/2006/relationships/hyperlink" Target="https://images.meesho.com/SecondaryQcImages/LM/VLR082811753255/imageVLR0828117532552.jpg" TargetMode="External"/><Relationship Id="rId27" Type="http://schemas.openxmlformats.org/officeDocument/2006/relationships/hyperlink" Target="https://images.meesho.com/SecondaryQcImages/LM/VLR082811753255/imageVLR0828117532551.jpg" TargetMode="External"/><Relationship Id="rId29" Type="http://schemas.openxmlformats.org/officeDocument/2006/relationships/hyperlink" Target="https://images.meesho.com/ReturnPickupImages/VLR082820371194/imageVLR0828203711941.jpg" TargetMode="External"/><Relationship Id="rId51" Type="http://schemas.openxmlformats.org/officeDocument/2006/relationships/hyperlink" Target="https://images.meesho.com/ReturnPickupImages/VLR082406378860/imageVLR0824063788603.jpg" TargetMode="External"/><Relationship Id="rId50" Type="http://schemas.openxmlformats.org/officeDocument/2006/relationships/hyperlink" Target="https://images.meesho.com/ReturnPickupImages/VLR082406378860/imageVLR0824063788602.jpg" TargetMode="External"/><Relationship Id="rId53" Type="http://schemas.openxmlformats.org/officeDocument/2006/relationships/hyperlink" Target="https://images.meesho.com/ReturnPickupImages/VLR082408131054/imageVLR0824081310541.jpg" TargetMode="External"/><Relationship Id="rId52" Type="http://schemas.openxmlformats.org/officeDocument/2006/relationships/hyperlink" Target="https://images.meesho.com//images/catalogs/174995192/cover/1/2/ee12346ce585f8c0783fdb12df021c636d1a243011dc1944c701688c2281e92e8e538cab1c703c226abf5014f933cfd5b22aac6b98d7d51747fc35a4ab7b5454.jpg" TargetMode="External"/><Relationship Id="rId11" Type="http://schemas.openxmlformats.org/officeDocument/2006/relationships/hyperlink" Target="https://images.meesho.com/ReturnPickupImages/VLR082753622598/imageVLR0827536225981.jpg" TargetMode="External"/><Relationship Id="rId55" Type="http://schemas.openxmlformats.org/officeDocument/2006/relationships/hyperlink" Target="https://images.meesho.com/ReturnPickupImages/VLR082408131054/imageVLR0824081310543.jpg" TargetMode="External"/><Relationship Id="rId10" Type="http://schemas.openxmlformats.org/officeDocument/2006/relationships/hyperlink" Target="https://images.meesho.com/ReturnPickupImages/VLR082752371924/imageVLR0827523719242.jpg" TargetMode="External"/><Relationship Id="rId54" Type="http://schemas.openxmlformats.org/officeDocument/2006/relationships/hyperlink" Target="https://images.meesho.com/ReturnPickupImages/VLR082408131054/imageVLR0824081310542.jpg" TargetMode="External"/><Relationship Id="rId13" Type="http://schemas.openxmlformats.org/officeDocument/2006/relationships/hyperlink" Target="https://images.meesho.com/ReturnPickupImages/VLR082757394936/imageVLR0827573949361.jpg" TargetMode="External"/><Relationship Id="rId57" Type="http://schemas.openxmlformats.org/officeDocument/2006/relationships/hyperlink" Target="https://images.meesho.com/ReturnPickupImages/VLR082408194714/imageVLR0824081947141.jpg" TargetMode="External"/><Relationship Id="rId12" Type="http://schemas.openxmlformats.org/officeDocument/2006/relationships/hyperlink" Target="https://images.meesho.com/ReturnPickupImages/VLR082753622598/imageVLR0827536225982.jpg" TargetMode="External"/><Relationship Id="rId56" Type="http://schemas.openxmlformats.org/officeDocument/2006/relationships/hyperlink" Target="https://images.meesho.com//images/catalogs/486089196/cover/1/2/7ebf5d35e70097a3661975ad3ad990d736a6f9e5eec99301bf6d8e94d357d2df74eb23cb4293005cbf822786e311306dff57dc0be4877e98d874f52c2d5debb1.jpg" TargetMode="External"/><Relationship Id="rId15" Type="http://schemas.openxmlformats.org/officeDocument/2006/relationships/hyperlink" Target="https://images.meesho.com/ReturnPickupImages/VLR082758298818/imageVLR0827582988181.jpg" TargetMode="External"/><Relationship Id="rId59" Type="http://schemas.openxmlformats.org/officeDocument/2006/relationships/hyperlink" Target="https://images.meesho.com/ReturnPickupImages/VLR082408194714/imageVLR0824081947143.jpg" TargetMode="External"/><Relationship Id="rId14" Type="http://schemas.openxmlformats.org/officeDocument/2006/relationships/hyperlink" Target="https://images.meesho.com/ReturnPickupImages/VLR082757394936/imageVLR0827573949362.jpg" TargetMode="External"/><Relationship Id="rId58" Type="http://schemas.openxmlformats.org/officeDocument/2006/relationships/hyperlink" Target="https://images.meesho.com/ReturnPickupImages/VLR082408194714/imageVLR0824081947142.jpg" TargetMode="External"/><Relationship Id="rId17" Type="http://schemas.openxmlformats.org/officeDocument/2006/relationships/hyperlink" Target="https://images.meesho.com/ReturnPickupImages/VLR082762483186/imageVLR0827624831861.jpg" TargetMode="External"/><Relationship Id="rId16" Type="http://schemas.openxmlformats.org/officeDocument/2006/relationships/hyperlink" Target="https://images.meesho.com/ReturnPickupImages/VLR082758298818/imageVLR0827582988182.jpg" TargetMode="External"/><Relationship Id="rId19" Type="http://schemas.openxmlformats.org/officeDocument/2006/relationships/hyperlink" Target="https://images.meesho.com/ReturnPickupImages/VLR082763700440/imageVLR0827637004401.jpg" TargetMode="External"/><Relationship Id="rId18" Type="http://schemas.openxmlformats.org/officeDocument/2006/relationships/hyperlink" Target="https://images.meesho.com/ReturnPickupImages/VLR082762483186/imageVLR0827624831862.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4.38"/>
    <col customWidth="1" min="3" max="3" width="38.88"/>
    <col customWidth="1" min="4" max="4" width="57.75"/>
    <col customWidth="1" min="5" max="5" width="27.25"/>
    <col customWidth="1" min="7" max="7" width="19.5"/>
  </cols>
  <sheetData>
    <row r="1">
      <c r="A1" s="6" t="s">
        <v>2</v>
      </c>
      <c r="B1" s="6" t="s">
        <v>32</v>
      </c>
      <c r="C1" s="6" t="s">
        <v>36</v>
      </c>
      <c r="D1" s="6" t="s">
        <v>37</v>
      </c>
      <c r="E1" s="6" t="s">
        <v>38</v>
      </c>
      <c r="F1" s="10"/>
      <c r="G1" s="6" t="s">
        <v>39</v>
      </c>
    </row>
    <row r="2">
      <c r="A2" s="11" t="s">
        <v>40</v>
      </c>
      <c r="B2" s="11" t="s">
        <v>41</v>
      </c>
      <c r="C2" s="11"/>
      <c r="D2" s="13" t="s">
        <v>43</v>
      </c>
      <c r="E2" s="11" t="s">
        <v>44</v>
      </c>
      <c r="F2" s="15" t="s">
        <v>45</v>
      </c>
      <c r="G2" s="11">
        <v>2.0</v>
      </c>
    </row>
    <row r="3">
      <c r="A3" s="16" t="s">
        <v>47</v>
      </c>
      <c r="B3" s="16" t="s">
        <v>41</v>
      </c>
      <c r="C3" s="16" t="s">
        <v>48</v>
      </c>
      <c r="D3" s="16" t="s">
        <v>49</v>
      </c>
      <c r="E3" s="16" t="s">
        <v>50</v>
      </c>
      <c r="F3" s="17" t="s">
        <v>45</v>
      </c>
      <c r="G3" s="16">
        <v>2.0</v>
      </c>
    </row>
    <row r="4" hidden="1">
      <c r="A4" s="11" t="s">
        <v>55</v>
      </c>
      <c r="B4" s="11" t="s">
        <v>56</v>
      </c>
      <c r="C4" s="11" t="s">
        <v>57</v>
      </c>
      <c r="D4" s="13" t="s">
        <v>58</v>
      </c>
      <c r="E4" s="11" t="s">
        <v>59</v>
      </c>
      <c r="F4" s="15" t="s">
        <v>60</v>
      </c>
      <c r="G4" s="11">
        <v>2.0</v>
      </c>
    </row>
    <row r="5">
      <c r="A5" s="16" t="s">
        <v>65</v>
      </c>
      <c r="B5" s="16" t="s">
        <v>66</v>
      </c>
      <c r="C5" s="16" t="s">
        <v>67</v>
      </c>
      <c r="D5" s="19" t="s">
        <v>68</v>
      </c>
      <c r="E5" s="16" t="s">
        <v>69</v>
      </c>
      <c r="F5" s="17" t="s">
        <v>70</v>
      </c>
      <c r="G5" s="16">
        <v>4.0</v>
      </c>
    </row>
    <row r="6" hidden="1">
      <c r="A6" s="11" t="s">
        <v>72</v>
      </c>
      <c r="B6" s="11" t="s">
        <v>73</v>
      </c>
      <c r="C6" s="11" t="s">
        <v>74</v>
      </c>
      <c r="D6" s="11" t="s">
        <v>75</v>
      </c>
      <c r="E6" s="11" t="s">
        <v>76</v>
      </c>
      <c r="F6" s="15" t="s">
        <v>77</v>
      </c>
      <c r="G6" s="11">
        <v>6.0</v>
      </c>
    </row>
    <row r="7">
      <c r="A7" s="16" t="s">
        <v>78</v>
      </c>
      <c r="B7" s="16" t="s">
        <v>41</v>
      </c>
      <c r="C7" s="16" t="s">
        <v>83</v>
      </c>
      <c r="D7" s="19" t="s">
        <v>85</v>
      </c>
      <c r="E7" s="16" t="s">
        <v>87</v>
      </c>
      <c r="F7" s="17" t="s">
        <v>88</v>
      </c>
      <c r="G7" s="16">
        <v>4.0</v>
      </c>
    </row>
    <row r="8">
      <c r="A8" s="11" t="s">
        <v>89</v>
      </c>
      <c r="B8" s="11" t="s">
        <v>41</v>
      </c>
      <c r="C8" s="11" t="s">
        <v>90</v>
      </c>
      <c r="D8" s="13" t="s">
        <v>92</v>
      </c>
      <c r="E8" s="11"/>
      <c r="F8" s="20"/>
      <c r="G8" s="11">
        <v>0.0</v>
      </c>
    </row>
    <row r="9" hidden="1">
      <c r="A9" s="16" t="s">
        <v>94</v>
      </c>
      <c r="B9" s="16" t="s">
        <v>73</v>
      </c>
      <c r="C9" s="16" t="s">
        <v>95</v>
      </c>
      <c r="D9" s="19" t="s">
        <v>96</v>
      </c>
      <c r="E9" s="16" t="s">
        <v>97</v>
      </c>
      <c r="F9" s="17" t="s">
        <v>98</v>
      </c>
      <c r="G9" s="16">
        <v>2.0</v>
      </c>
    </row>
    <row r="10" hidden="1">
      <c r="A10" s="11" t="s">
        <v>101</v>
      </c>
      <c r="B10" s="11" t="s">
        <v>56</v>
      </c>
      <c r="C10" s="11" t="s">
        <v>95</v>
      </c>
      <c r="D10" s="13" t="s">
        <v>102</v>
      </c>
      <c r="E10" s="11" t="s">
        <v>103</v>
      </c>
      <c r="F10" s="15" t="s">
        <v>104</v>
      </c>
      <c r="G10" s="11">
        <v>2.0</v>
      </c>
    </row>
    <row r="11" hidden="1">
      <c r="A11" s="21" t="s">
        <v>106</v>
      </c>
      <c r="B11" s="21" t="s">
        <v>107</v>
      </c>
      <c r="C11" s="21"/>
      <c r="D11" s="22"/>
      <c r="E11" s="21" t="s">
        <v>108</v>
      </c>
      <c r="F11" s="17" t="s">
        <v>109</v>
      </c>
      <c r="G11" s="21">
        <v>4.0</v>
      </c>
    </row>
    <row r="12" hidden="1">
      <c r="A12" s="11" t="s">
        <v>110</v>
      </c>
      <c r="B12" s="11" t="s">
        <v>107</v>
      </c>
      <c r="C12" s="11" t="s">
        <v>111</v>
      </c>
      <c r="D12" s="11" t="s">
        <v>112</v>
      </c>
      <c r="E12" s="13"/>
      <c r="F12" s="13"/>
      <c r="G12" s="11">
        <v>0.0</v>
      </c>
    </row>
    <row r="13" hidden="1">
      <c r="A13" s="16" t="s">
        <v>110</v>
      </c>
      <c r="B13" s="16" t="s">
        <v>119</v>
      </c>
      <c r="C13" s="16" t="s">
        <v>111</v>
      </c>
      <c r="D13" s="16" t="s">
        <v>112</v>
      </c>
      <c r="E13" s="19"/>
      <c r="F13" s="19"/>
      <c r="G13" s="16">
        <v>0.0</v>
      </c>
    </row>
  </sheetData>
  <autoFilter ref="$A$1:$E$13">
    <filterColumn colId="1">
      <filters>
        <filter val="Lm"/>
        <filter val="FM"/>
        <filter val="Lm FE"/>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7" max="7" width="13.0"/>
  </cols>
  <sheetData>
    <row r="1">
      <c r="A1" s="3" t="s">
        <v>0</v>
      </c>
      <c r="B1" s="3" t="s">
        <v>1</v>
      </c>
      <c r="C1" s="3" t="s">
        <v>3</v>
      </c>
      <c r="D1" s="3" t="s">
        <v>4</v>
      </c>
      <c r="E1" s="3" t="s">
        <v>5</v>
      </c>
      <c r="F1" s="3" t="s">
        <v>6</v>
      </c>
      <c r="G1" s="3" t="s">
        <v>7</v>
      </c>
      <c r="H1" s="3" t="s">
        <v>8</v>
      </c>
      <c r="I1" s="3" t="s">
        <v>9</v>
      </c>
      <c r="J1" s="5"/>
      <c r="K1" s="5"/>
      <c r="L1" s="5"/>
      <c r="M1" s="5"/>
      <c r="N1" s="5"/>
      <c r="O1" s="5"/>
      <c r="P1" s="5"/>
      <c r="Q1" s="5"/>
      <c r="R1" s="5"/>
      <c r="S1" s="5"/>
      <c r="T1" s="5"/>
      <c r="U1" s="5"/>
      <c r="V1" s="5"/>
      <c r="W1" s="5"/>
      <c r="X1" s="5"/>
      <c r="Y1" s="5"/>
      <c r="Z1" s="5"/>
    </row>
    <row r="2">
      <c r="A2" s="3" t="s">
        <v>28</v>
      </c>
      <c r="B2" s="3" t="s">
        <v>29</v>
      </c>
      <c r="C2" s="7">
        <v>46281.0</v>
      </c>
      <c r="D2" s="3">
        <v>216.0</v>
      </c>
      <c r="E2" s="3" t="s">
        <v>31</v>
      </c>
      <c r="F2" s="14" t="s">
        <v>33</v>
      </c>
      <c r="G2" s="14" t="s">
        <v>46</v>
      </c>
      <c r="H2" s="18"/>
      <c r="I2" s="18"/>
      <c r="J2" s="5"/>
      <c r="K2" s="5"/>
      <c r="L2" s="5"/>
      <c r="M2" s="5"/>
      <c r="N2" s="5"/>
      <c r="O2" s="5"/>
      <c r="P2" s="5"/>
      <c r="Q2" s="5"/>
      <c r="R2" s="5"/>
      <c r="S2" s="5"/>
      <c r="T2" s="5"/>
      <c r="U2" s="5"/>
      <c r="V2" s="5"/>
      <c r="W2" s="5"/>
      <c r="X2" s="5"/>
      <c r="Y2" s="5"/>
      <c r="Z2" s="5"/>
    </row>
    <row r="3">
      <c r="A3" s="3" t="s">
        <v>28</v>
      </c>
      <c r="B3" s="3" t="s">
        <v>61</v>
      </c>
      <c r="C3" s="7">
        <v>46281.0</v>
      </c>
      <c r="D3" s="3">
        <v>216.0</v>
      </c>
      <c r="E3" s="3" t="s">
        <v>62</v>
      </c>
      <c r="F3" s="14" t="s">
        <v>63</v>
      </c>
      <c r="G3" s="14" t="s">
        <v>71</v>
      </c>
      <c r="H3" s="18"/>
      <c r="I3" s="18"/>
      <c r="J3" s="5"/>
      <c r="K3" s="5"/>
      <c r="L3" s="5"/>
      <c r="M3" s="5"/>
      <c r="N3" s="5"/>
      <c r="O3" s="5"/>
      <c r="P3" s="5"/>
      <c r="Q3" s="5"/>
      <c r="R3" s="5"/>
      <c r="S3" s="5"/>
      <c r="T3" s="5"/>
      <c r="U3" s="5"/>
      <c r="V3" s="5"/>
      <c r="W3" s="5"/>
      <c r="X3" s="5"/>
      <c r="Y3" s="5"/>
      <c r="Z3" s="5"/>
    </row>
    <row r="4">
      <c r="A4" s="3" t="s">
        <v>51</v>
      </c>
      <c r="B4" s="3" t="s">
        <v>81</v>
      </c>
      <c r="C4" s="7">
        <v>46281.0</v>
      </c>
      <c r="D4" s="3">
        <v>224.0</v>
      </c>
      <c r="E4" s="3" t="s">
        <v>84</v>
      </c>
      <c r="F4" s="14" t="s">
        <v>86</v>
      </c>
      <c r="G4" s="14" t="s">
        <v>93</v>
      </c>
      <c r="H4" s="18"/>
      <c r="I4" s="18"/>
      <c r="J4" s="5"/>
      <c r="K4" s="5"/>
      <c r="L4" s="5"/>
      <c r="M4" s="5"/>
      <c r="N4" s="5"/>
      <c r="O4" s="5"/>
      <c r="P4" s="5"/>
      <c r="Q4" s="5"/>
      <c r="R4" s="5"/>
      <c r="S4" s="5"/>
      <c r="T4" s="5"/>
      <c r="U4" s="5"/>
      <c r="V4" s="5"/>
      <c r="W4" s="5"/>
      <c r="X4" s="5"/>
      <c r="Y4" s="5"/>
      <c r="Z4" s="5"/>
    </row>
    <row r="5">
      <c r="A5" s="3" t="s">
        <v>51</v>
      </c>
      <c r="B5" s="3" t="s">
        <v>52</v>
      </c>
      <c r="C5" s="7">
        <v>46281.0</v>
      </c>
      <c r="D5" s="3">
        <v>348.0</v>
      </c>
      <c r="E5" s="3" t="s">
        <v>53</v>
      </c>
      <c r="F5" s="14" t="s">
        <v>54</v>
      </c>
      <c r="G5" s="14" t="s">
        <v>64</v>
      </c>
      <c r="H5" s="18"/>
      <c r="I5" s="18"/>
      <c r="J5" s="5"/>
      <c r="K5" s="5"/>
      <c r="L5" s="5"/>
      <c r="M5" s="5"/>
      <c r="N5" s="5"/>
      <c r="O5" s="5"/>
      <c r="P5" s="5"/>
      <c r="Q5" s="5"/>
      <c r="R5" s="5"/>
      <c r="S5" s="5"/>
      <c r="T5" s="5"/>
      <c r="U5" s="5"/>
      <c r="V5" s="5"/>
      <c r="W5" s="5"/>
      <c r="X5" s="5"/>
      <c r="Y5" s="5"/>
      <c r="Z5" s="5"/>
    </row>
    <row r="6">
      <c r="A6" s="3" t="s">
        <v>121</v>
      </c>
      <c r="B6" s="3" t="s">
        <v>122</v>
      </c>
      <c r="C6" s="7">
        <v>46281.0</v>
      </c>
      <c r="D6" s="3">
        <v>602.0</v>
      </c>
      <c r="E6" s="3" t="s">
        <v>124</v>
      </c>
      <c r="F6" s="14" t="s">
        <v>125</v>
      </c>
      <c r="G6" s="14" t="s">
        <v>127</v>
      </c>
      <c r="H6" s="14" t="s">
        <v>130</v>
      </c>
      <c r="I6" s="14" t="s">
        <v>137</v>
      </c>
      <c r="J6" s="5"/>
      <c r="K6" s="5"/>
      <c r="L6" s="5"/>
      <c r="M6" s="5"/>
      <c r="N6" s="5"/>
      <c r="O6" s="5"/>
      <c r="P6" s="5"/>
      <c r="Q6" s="5"/>
      <c r="R6" s="5"/>
      <c r="S6" s="5"/>
      <c r="T6" s="5"/>
      <c r="U6" s="5"/>
      <c r="V6" s="5"/>
      <c r="W6" s="5"/>
      <c r="X6" s="5"/>
      <c r="Y6" s="5"/>
      <c r="Z6" s="5"/>
    </row>
    <row r="7">
      <c r="A7" s="3" t="s">
        <v>121</v>
      </c>
      <c r="B7" s="3" t="s">
        <v>144</v>
      </c>
      <c r="C7" s="7">
        <v>46281.0</v>
      </c>
      <c r="D7" s="3">
        <v>762.0</v>
      </c>
      <c r="E7" s="3" t="s">
        <v>145</v>
      </c>
      <c r="F7" s="14" t="s">
        <v>146</v>
      </c>
      <c r="G7" s="14" t="s">
        <v>153</v>
      </c>
      <c r="H7" s="14" t="s">
        <v>159</v>
      </c>
      <c r="I7" s="14" t="s">
        <v>161</v>
      </c>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H6"/>
    <hyperlink r:id="rId12" ref="I6"/>
    <hyperlink r:id="rId13" ref="F7"/>
    <hyperlink r:id="rId14" ref="G7"/>
    <hyperlink r:id="rId15" ref="H7"/>
    <hyperlink r:id="rId16" ref="I7"/>
  </hyperlinks>
  <drawing r:id="rId17"/>
  <tableParts count="1">
    <tablePart r:id="rId1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c r="F1" s="1" t="s">
        <v>6</v>
      </c>
      <c r="G1" s="1" t="s">
        <v>7</v>
      </c>
      <c r="H1" s="1" t="s">
        <v>8</v>
      </c>
      <c r="I1" s="1" t="s">
        <v>9</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row>
    <row r="2">
      <c r="A2" s="4" t="s">
        <v>28</v>
      </c>
      <c r="B2" s="4" t="s">
        <v>30</v>
      </c>
      <c r="C2" s="8">
        <v>46281.0</v>
      </c>
      <c r="D2" s="9">
        <v>1079.0</v>
      </c>
      <c r="E2" s="4" t="s">
        <v>34</v>
      </c>
      <c r="F2" s="12" t="s">
        <v>35</v>
      </c>
      <c r="G2" s="12" t="s">
        <v>42</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row>
    <row r="3">
      <c r="A3" s="4" t="s">
        <v>51</v>
      </c>
      <c r="B3" s="4" t="s">
        <v>52</v>
      </c>
      <c r="C3" s="8">
        <v>46281.0</v>
      </c>
      <c r="D3" s="9">
        <v>348.0</v>
      </c>
      <c r="E3" s="4" t="s">
        <v>53</v>
      </c>
      <c r="F3" s="12" t="s">
        <v>54</v>
      </c>
      <c r="G3" s="12" t="s">
        <v>64</v>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row>
    <row r="4">
      <c r="A4" s="4" t="s">
        <v>51</v>
      </c>
      <c r="B4" s="4" t="s">
        <v>79</v>
      </c>
      <c r="C4" s="8">
        <v>46281.0</v>
      </c>
      <c r="D4" s="9">
        <v>552.0</v>
      </c>
      <c r="E4" s="4" t="s">
        <v>80</v>
      </c>
      <c r="F4" s="12" t="s">
        <v>82</v>
      </c>
      <c r="G4" s="12" t="s">
        <v>91</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row>
    <row r="5">
      <c r="A5" s="4" t="s">
        <v>51</v>
      </c>
      <c r="B5" s="4" t="s">
        <v>99</v>
      </c>
      <c r="C5" s="8">
        <v>46281.0</v>
      </c>
      <c r="D5" s="9">
        <v>223.0</v>
      </c>
      <c r="E5" s="4" t="s">
        <v>53</v>
      </c>
      <c r="F5" s="12" t="s">
        <v>100</v>
      </c>
      <c r="G5" s="12" t="s">
        <v>105</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row>
    <row r="6">
      <c r="A6" s="4" t="s">
        <v>51</v>
      </c>
      <c r="B6" s="4" t="s">
        <v>113</v>
      </c>
      <c r="C6" s="8">
        <v>46281.0</v>
      </c>
      <c r="D6" s="9">
        <v>879.0</v>
      </c>
      <c r="E6" s="4" t="s">
        <v>115</v>
      </c>
      <c r="F6" s="12" t="s">
        <v>116</v>
      </c>
      <c r="G6" s="12" t="s">
        <v>126</v>
      </c>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row>
    <row r="7">
      <c r="A7" s="4" t="s">
        <v>51</v>
      </c>
      <c r="B7" s="4" t="s">
        <v>128</v>
      </c>
      <c r="C7" s="8">
        <v>46281.0</v>
      </c>
      <c r="D7" s="9">
        <v>433.0</v>
      </c>
      <c r="E7" s="4" t="s">
        <v>53</v>
      </c>
      <c r="F7" s="12" t="s">
        <v>129</v>
      </c>
      <c r="G7" s="12" t="s">
        <v>136</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row>
    <row r="8">
      <c r="A8" s="4" t="s">
        <v>51</v>
      </c>
      <c r="B8" s="4" t="s">
        <v>147</v>
      </c>
      <c r="C8" s="8">
        <v>46281.0</v>
      </c>
      <c r="D8" s="9">
        <v>95.0</v>
      </c>
      <c r="E8" s="4" t="s">
        <v>145</v>
      </c>
      <c r="F8" s="12" t="s">
        <v>149</v>
      </c>
      <c r="G8" s="12" t="s">
        <v>156</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row>
    <row r="9">
      <c r="A9" s="4" t="s">
        <v>51</v>
      </c>
      <c r="B9" s="4" t="s">
        <v>162</v>
      </c>
      <c r="C9" s="8">
        <v>46281.0</v>
      </c>
      <c r="D9" s="9">
        <v>337.0</v>
      </c>
      <c r="E9" s="4" t="s">
        <v>163</v>
      </c>
      <c r="F9" s="12" t="s">
        <v>164</v>
      </c>
      <c r="G9" s="12" t="s">
        <v>165</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row>
    <row r="10">
      <c r="A10" s="4" t="s">
        <v>51</v>
      </c>
      <c r="B10" s="4" t="s">
        <v>166</v>
      </c>
      <c r="C10" s="8">
        <v>46281.0</v>
      </c>
      <c r="D10" s="9">
        <v>366.0</v>
      </c>
      <c r="E10" s="4" t="s">
        <v>53</v>
      </c>
      <c r="F10" s="12" t="s">
        <v>167</v>
      </c>
      <c r="G10" s="12" t="s">
        <v>168</v>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row>
    <row r="11">
      <c r="A11" s="4" t="s">
        <v>51</v>
      </c>
      <c r="B11" s="4" t="s">
        <v>169</v>
      </c>
      <c r="C11" s="8">
        <v>46281.0</v>
      </c>
      <c r="D11" s="9">
        <v>185.0</v>
      </c>
      <c r="E11" s="4" t="s">
        <v>170</v>
      </c>
      <c r="F11" s="12" t="s">
        <v>171</v>
      </c>
      <c r="G11" s="12" t="s">
        <v>172</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row>
    <row r="12">
      <c r="A12" s="4" t="s">
        <v>121</v>
      </c>
      <c r="B12" s="4" t="s">
        <v>173</v>
      </c>
      <c r="C12" s="8">
        <v>46281.0</v>
      </c>
      <c r="D12" s="9">
        <v>149.0</v>
      </c>
      <c r="E12" s="4" t="s">
        <v>163</v>
      </c>
      <c r="F12" s="12" t="s">
        <v>174</v>
      </c>
      <c r="G12" s="12" t="s">
        <v>175</v>
      </c>
      <c r="H12" s="12" t="s">
        <v>176</v>
      </c>
      <c r="I12" s="12" t="s">
        <v>177</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row>
    <row r="13">
      <c r="A13" s="4" t="s">
        <v>121</v>
      </c>
      <c r="B13" s="4" t="s">
        <v>178</v>
      </c>
      <c r="C13" s="8">
        <v>46281.0</v>
      </c>
      <c r="D13" s="9">
        <v>383.0</v>
      </c>
      <c r="E13" s="4" t="s">
        <v>163</v>
      </c>
      <c r="F13" s="12" t="s">
        <v>179</v>
      </c>
      <c r="G13" s="12" t="s">
        <v>180</v>
      </c>
      <c r="H13" s="12" t="s">
        <v>181</v>
      </c>
      <c r="I13" s="12" t="s">
        <v>182</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row>
    <row r="14">
      <c r="A14" s="4" t="s">
        <v>121</v>
      </c>
      <c r="B14" s="4" t="s">
        <v>183</v>
      </c>
      <c r="C14" s="8">
        <v>46281.0</v>
      </c>
      <c r="D14" s="9">
        <v>279.0</v>
      </c>
      <c r="E14" s="4" t="s">
        <v>163</v>
      </c>
      <c r="F14" s="12" t="s">
        <v>184</v>
      </c>
      <c r="G14" s="12" t="s">
        <v>185</v>
      </c>
      <c r="H14" s="12" t="s">
        <v>186</v>
      </c>
      <c r="I14" s="12" t="s">
        <v>187</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row>
    <row r="15">
      <c r="A15" s="4" t="s">
        <v>121</v>
      </c>
      <c r="B15" s="4" t="s">
        <v>188</v>
      </c>
      <c r="C15" s="8">
        <v>46281.0</v>
      </c>
      <c r="D15" s="9">
        <v>506.0</v>
      </c>
      <c r="E15" s="4" t="s">
        <v>163</v>
      </c>
      <c r="F15" s="12" t="s">
        <v>189</v>
      </c>
      <c r="G15" s="12" t="s">
        <v>190</v>
      </c>
      <c r="H15" s="12" t="s">
        <v>191</v>
      </c>
      <c r="I15" s="12" t="s">
        <v>192</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row>
    <row r="16">
      <c r="A16" s="4" t="s">
        <v>121</v>
      </c>
      <c r="B16" s="4" t="s">
        <v>193</v>
      </c>
      <c r="C16" s="8">
        <v>46281.0</v>
      </c>
      <c r="D16" s="9">
        <v>188.0</v>
      </c>
      <c r="E16" s="4" t="s">
        <v>163</v>
      </c>
      <c r="F16" s="12" t="s">
        <v>194</v>
      </c>
      <c r="G16" s="12" t="s">
        <v>195</v>
      </c>
      <c r="H16" s="12" t="s">
        <v>196</v>
      </c>
      <c r="I16" s="12" t="s">
        <v>197</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row>
    <row r="17">
      <c r="A17" s="4" t="s">
        <v>121</v>
      </c>
      <c r="B17" s="4" t="s">
        <v>198</v>
      </c>
      <c r="C17" s="8">
        <v>46281.0</v>
      </c>
      <c r="D17" s="9">
        <v>1356.0</v>
      </c>
      <c r="E17" s="4" t="s">
        <v>163</v>
      </c>
      <c r="F17" s="12" t="s">
        <v>199</v>
      </c>
      <c r="G17" s="12" t="s">
        <v>200</v>
      </c>
      <c r="H17" s="12" t="s">
        <v>201</v>
      </c>
      <c r="I17" s="12" t="s">
        <v>202</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row>
    <row r="18">
      <c r="A18" s="4" t="s">
        <v>121</v>
      </c>
      <c r="B18" s="4" t="s">
        <v>203</v>
      </c>
      <c r="C18" s="8">
        <v>46273.0</v>
      </c>
      <c r="D18" s="9">
        <v>417.0</v>
      </c>
      <c r="E18" s="4" t="s">
        <v>163</v>
      </c>
      <c r="F18" s="12" t="s">
        <v>204</v>
      </c>
      <c r="G18" s="12" t="s">
        <v>205</v>
      </c>
      <c r="H18" s="12" t="s">
        <v>206</v>
      </c>
      <c r="I18" s="12" t="s">
        <v>207</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row>
    <row r="20">
      <c r="A20" s="32" t="s">
        <v>208</v>
      </c>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row>
    <row r="21">
      <c r="A21" s="33" t="s">
        <v>209</v>
      </c>
      <c r="B21" s="34" t="s">
        <v>210</v>
      </c>
      <c r="C21" s="35" t="s">
        <v>11</v>
      </c>
      <c r="D21" s="36" t="s">
        <v>211</v>
      </c>
      <c r="E21" s="36" t="s">
        <v>212</v>
      </c>
      <c r="F21" s="36" t="s">
        <v>213</v>
      </c>
      <c r="G21" s="36" t="s">
        <v>214</v>
      </c>
      <c r="H21" s="36"/>
      <c r="I21" s="1" t="s">
        <v>215</v>
      </c>
      <c r="J21" s="1" t="s">
        <v>216</v>
      </c>
      <c r="K21" s="1" t="s">
        <v>217</v>
      </c>
      <c r="L21" s="1" t="s">
        <v>218</v>
      </c>
      <c r="M21" s="1" t="s">
        <v>219</v>
      </c>
      <c r="N21" s="1" t="s">
        <v>220</v>
      </c>
      <c r="O21" s="1" t="s">
        <v>221</v>
      </c>
      <c r="P21" s="1" t="s">
        <v>222</v>
      </c>
      <c r="Q21" s="1" t="s">
        <v>223</v>
      </c>
      <c r="R21" s="1" t="s">
        <v>224</v>
      </c>
      <c r="T21" s="1"/>
      <c r="W21" s="1"/>
      <c r="X21" s="1"/>
      <c r="Y21" s="1"/>
      <c r="Z21" s="1"/>
      <c r="AA21" s="1"/>
      <c r="AB21" s="1"/>
      <c r="AC21" s="1"/>
      <c r="AD21" s="1"/>
      <c r="AE21" s="1"/>
      <c r="AF21" s="1"/>
      <c r="AG21" s="1"/>
      <c r="AH21" s="1"/>
      <c r="AI21" s="4"/>
      <c r="AJ21" s="1"/>
      <c r="AK21" s="1"/>
      <c r="AL21" s="1"/>
      <c r="AM21" s="1"/>
      <c r="AN21" s="1"/>
      <c r="AO21" s="4"/>
      <c r="AP21" s="1"/>
      <c r="AQ21" s="4"/>
      <c r="AR21" s="4"/>
    </row>
    <row r="22">
      <c r="A22" s="37" t="s">
        <v>12</v>
      </c>
      <c r="B22" s="37" t="str">
        <f t="array" ref="B22">_xlfn.XLOOKUP(A22,Sheet5!A:A,Sheet5!B:B,0)</f>
        <v>md kamal uddin -6290954573</v>
      </c>
      <c r="C22" s="37">
        <f t="array" ref="C22">_xlfn.XLOOKUP(B22,Sheet5!B:B,Sheet5!C:C,0)</f>
        <v>599</v>
      </c>
      <c r="D22" s="38" t="s">
        <v>225</v>
      </c>
      <c r="E22" s="38" t="s">
        <v>226</v>
      </c>
      <c r="F22" s="38" t="s">
        <v>227</v>
      </c>
      <c r="G22" s="38" t="s">
        <v>228</v>
      </c>
      <c r="H22" s="38"/>
      <c r="I22" s="34" t="s">
        <v>229</v>
      </c>
      <c r="J22" s="34" t="s">
        <v>230</v>
      </c>
      <c r="K22" s="34" t="s">
        <v>231</v>
      </c>
      <c r="L22" s="34" t="s">
        <v>232</v>
      </c>
      <c r="M22" s="34" t="s">
        <v>233</v>
      </c>
      <c r="N22" s="34" t="s">
        <v>234</v>
      </c>
      <c r="O22" s="34" t="s">
        <v>235</v>
      </c>
      <c r="P22" s="34" t="s">
        <v>236</v>
      </c>
      <c r="Q22" s="34" t="s">
        <v>237</v>
      </c>
      <c r="R22" s="34" t="s">
        <v>238</v>
      </c>
      <c r="T22" s="34"/>
      <c r="W22" s="34"/>
      <c r="X22" s="34"/>
      <c r="Y22" s="34"/>
      <c r="Z22" s="34"/>
      <c r="AA22" s="34"/>
      <c r="AB22" s="34"/>
      <c r="AC22" s="34"/>
      <c r="AD22" s="34"/>
      <c r="AE22" s="34"/>
      <c r="AF22" s="34"/>
      <c r="AG22" s="34"/>
      <c r="AH22" s="34"/>
      <c r="AI22" s="4"/>
      <c r="AJ22" s="34"/>
      <c r="AK22" s="34"/>
      <c r="AL22" s="34"/>
      <c r="AM22" s="34"/>
      <c r="AN22" s="34"/>
      <c r="AO22" s="4"/>
      <c r="AP22" s="34"/>
      <c r="AQ22" s="4"/>
      <c r="AR22" s="4"/>
    </row>
    <row r="23">
      <c r="A23" s="37" t="s">
        <v>14</v>
      </c>
      <c r="B23" s="37" t="str">
        <f t="array" ref="B23">_xlfn.XLOOKUP(A23,Sheet5!A:A,Sheet5!B:B,0)</f>
        <v>anurag tilawdiya-8461097157</v>
      </c>
      <c r="C23" s="37">
        <f t="array" ref="C23">_xlfn.XLOOKUP(B23,Sheet5!B:B,Sheet5!C:C,0)</f>
        <v>288</v>
      </c>
      <c r="D23" s="38" t="s">
        <v>239</v>
      </c>
      <c r="E23" s="38" t="s">
        <v>240</v>
      </c>
      <c r="F23" s="38" t="s">
        <v>241</v>
      </c>
      <c r="G23" s="38" t="s">
        <v>242</v>
      </c>
      <c r="H23" s="38"/>
      <c r="I23" s="34" t="s">
        <v>229</v>
      </c>
      <c r="J23" s="34" t="s">
        <v>230</v>
      </c>
      <c r="K23" s="34" t="s">
        <v>231</v>
      </c>
      <c r="L23" s="34" t="s">
        <v>232</v>
      </c>
      <c r="M23" s="34" t="s">
        <v>233</v>
      </c>
      <c r="N23" s="34" t="s">
        <v>234</v>
      </c>
      <c r="O23" s="4"/>
      <c r="P23" s="4"/>
      <c r="Q23" s="34" t="s">
        <v>237</v>
      </c>
      <c r="R23" s="34" t="s">
        <v>238</v>
      </c>
      <c r="T23" s="4"/>
      <c r="W23" s="34"/>
      <c r="X23" s="34"/>
      <c r="Y23" s="34"/>
      <c r="Z23" s="4"/>
      <c r="AA23" s="4"/>
      <c r="AB23" s="4"/>
      <c r="AC23" s="34"/>
      <c r="AD23" s="34"/>
      <c r="AE23" s="4"/>
      <c r="AF23" s="34"/>
      <c r="AG23" s="34"/>
      <c r="AH23" s="34"/>
      <c r="AI23" s="4"/>
      <c r="AJ23" s="34"/>
      <c r="AK23" s="34"/>
      <c r="AL23" s="34"/>
      <c r="AM23" s="4"/>
      <c r="AN23" s="34"/>
      <c r="AO23" s="4"/>
      <c r="AP23" s="34"/>
      <c r="AQ23" s="4"/>
      <c r="AR23" s="4"/>
    </row>
    <row r="24">
      <c r="A24" s="37" t="s">
        <v>16</v>
      </c>
      <c r="B24" s="37" t="str">
        <f t="array" ref="B24">_xlfn.XLOOKUP(A24,Sheet5!A:A,Sheet5!B:B,0)</f>
        <v>narendra kumar bhargava-9024754004</v>
      </c>
      <c r="C24" s="37">
        <f t="array" ref="C24">_xlfn.XLOOKUP(B24,Sheet5!B:B,Sheet5!C:C,0)</f>
        <v>237</v>
      </c>
      <c r="D24" s="38" t="s">
        <v>243</v>
      </c>
      <c r="E24" s="38" t="s">
        <v>244</v>
      </c>
      <c r="F24" s="38" t="s">
        <v>245</v>
      </c>
      <c r="G24" s="38" t="s">
        <v>246</v>
      </c>
      <c r="H24" s="38"/>
      <c r="I24" s="34" t="s">
        <v>229</v>
      </c>
      <c r="J24" s="34" t="s">
        <v>230</v>
      </c>
      <c r="K24" s="34" t="s">
        <v>231</v>
      </c>
      <c r="L24" s="34" t="s">
        <v>232</v>
      </c>
      <c r="M24" s="34" t="s">
        <v>233</v>
      </c>
      <c r="N24" s="34" t="s">
        <v>234</v>
      </c>
      <c r="O24" s="34" t="s">
        <v>235</v>
      </c>
      <c r="P24" s="34" t="s">
        <v>236</v>
      </c>
      <c r="Q24" s="34" t="s">
        <v>237</v>
      </c>
      <c r="R24" s="34" t="s">
        <v>238</v>
      </c>
      <c r="T24" s="34"/>
      <c r="W24" s="34"/>
      <c r="X24" s="34"/>
      <c r="Y24" s="34"/>
      <c r="Z24" s="34"/>
      <c r="AA24" s="34"/>
      <c r="AB24" s="34"/>
      <c r="AC24" s="34"/>
      <c r="AD24" s="34"/>
      <c r="AE24" s="34"/>
      <c r="AF24" s="34"/>
      <c r="AG24" s="34"/>
      <c r="AH24" s="34"/>
      <c r="AI24" s="4"/>
      <c r="AJ24" s="34"/>
      <c r="AK24" s="34"/>
      <c r="AL24" s="34"/>
      <c r="AM24" s="34"/>
      <c r="AN24" s="34"/>
      <c r="AO24" s="4"/>
      <c r="AP24" s="34"/>
      <c r="AQ24" s="4"/>
      <c r="AR24" s="4"/>
    </row>
    <row r="25">
      <c r="A25" s="37" t="s">
        <v>18</v>
      </c>
      <c r="B25" s="37" t="str">
        <f t="array" ref="B25">_xlfn.XLOOKUP(A25,Sheet5!A:A,Sheet5!B:B,0)</f>
        <v>preetam-9521480144</v>
      </c>
      <c r="C25" s="37">
        <f t="array" ref="C25">_xlfn.XLOOKUP(B25,Sheet5!B:B,Sheet5!C:C,0)</f>
        <v>242</v>
      </c>
      <c r="D25" s="38" t="s">
        <v>247</v>
      </c>
      <c r="E25" s="38" t="s">
        <v>248</v>
      </c>
      <c r="F25" s="38" t="s">
        <v>249</v>
      </c>
      <c r="G25" s="38" t="s">
        <v>250</v>
      </c>
      <c r="H25" s="38"/>
      <c r="I25" s="34" t="s">
        <v>229</v>
      </c>
      <c r="J25" s="34" t="s">
        <v>230</v>
      </c>
      <c r="K25" s="34" t="s">
        <v>231</v>
      </c>
      <c r="L25" s="34" t="s">
        <v>251</v>
      </c>
      <c r="M25" s="34" t="s">
        <v>233</v>
      </c>
      <c r="N25" s="34" t="s">
        <v>234</v>
      </c>
      <c r="O25" s="34" t="s">
        <v>235</v>
      </c>
      <c r="P25" s="34" t="s">
        <v>236</v>
      </c>
      <c r="Q25" s="34" t="s">
        <v>237</v>
      </c>
      <c r="R25" s="34" t="s">
        <v>238</v>
      </c>
      <c r="T25" s="34"/>
      <c r="W25" s="34"/>
      <c r="X25" s="34"/>
      <c r="Y25" s="34"/>
      <c r="Z25" s="34"/>
      <c r="AA25" s="34"/>
      <c r="AB25" s="34"/>
      <c r="AC25" s="34"/>
      <c r="AD25" s="34"/>
      <c r="AE25" s="34"/>
      <c r="AF25" s="34"/>
      <c r="AG25" s="34"/>
      <c r="AH25" s="34"/>
      <c r="AI25" s="4"/>
      <c r="AJ25" s="34"/>
      <c r="AK25" s="34"/>
      <c r="AL25" s="34"/>
      <c r="AM25" s="34"/>
      <c r="AN25" s="34"/>
      <c r="AO25" s="4"/>
      <c r="AP25" s="34"/>
      <c r="AQ25" s="4"/>
      <c r="AR25" s="4"/>
    </row>
    <row r="26">
      <c r="A26" s="37" t="s">
        <v>22</v>
      </c>
      <c r="B26" s="37" t="str">
        <f t="array" ref="B26">_xlfn.XLOOKUP(A26,Sheet5!A:A,Sheet5!B:B,0)</f>
        <v>sonu kushwah-9243989640</v>
      </c>
      <c r="C26" s="37">
        <f t="array" ref="C26">_xlfn.XLOOKUP(B26,Sheet5!B:B,Sheet5!C:C,0)</f>
        <v>567</v>
      </c>
      <c r="D26" s="38" t="s">
        <v>252</v>
      </c>
      <c r="E26" s="38" t="s">
        <v>253</v>
      </c>
      <c r="F26" s="38" t="s">
        <v>254</v>
      </c>
      <c r="G26" s="38" t="s">
        <v>255</v>
      </c>
      <c r="H26" s="38"/>
      <c r="I26" s="34" t="s">
        <v>229</v>
      </c>
      <c r="J26" s="34" t="s">
        <v>230</v>
      </c>
      <c r="K26" s="34" t="s">
        <v>231</v>
      </c>
      <c r="L26" s="34" t="s">
        <v>232</v>
      </c>
      <c r="M26" s="34" t="s">
        <v>233</v>
      </c>
      <c r="N26" s="34" t="s">
        <v>234</v>
      </c>
      <c r="O26" s="34" t="s">
        <v>235</v>
      </c>
      <c r="P26" s="34" t="s">
        <v>236</v>
      </c>
      <c r="Q26" s="34" t="s">
        <v>237</v>
      </c>
      <c r="R26" s="34" t="s">
        <v>238</v>
      </c>
      <c r="T26" s="34"/>
      <c r="W26" s="34"/>
      <c r="X26" s="34"/>
      <c r="Y26" s="34"/>
      <c r="Z26" s="34"/>
      <c r="AA26" s="34"/>
      <c r="AB26" s="34"/>
      <c r="AC26" s="34"/>
      <c r="AD26" s="34"/>
      <c r="AE26" s="34"/>
      <c r="AF26" s="34"/>
      <c r="AG26" s="34"/>
      <c r="AH26" s="34"/>
      <c r="AI26" s="4"/>
      <c r="AJ26" s="34"/>
      <c r="AK26" s="34"/>
      <c r="AL26" s="34"/>
      <c r="AM26" s="34"/>
      <c r="AN26" s="34"/>
      <c r="AO26" s="4"/>
      <c r="AP26" s="34"/>
      <c r="AQ26" s="4"/>
      <c r="AR26" s="4"/>
    </row>
    <row r="27">
      <c r="A27" s="37" t="s">
        <v>26</v>
      </c>
      <c r="B27" s="37" t="str">
        <f t="array" ref="B27">_xlfn.XLOOKUP(A27,Sheet5!A:A,Sheet5!B:B,0)</f>
        <v>anjali anjali-7827732826</v>
      </c>
      <c r="C27" s="37">
        <f t="array" ref="C27">_xlfn.XLOOKUP(B27,Sheet5!B:B,Sheet5!C:C,0)</f>
        <v>309</v>
      </c>
      <c r="D27" s="38" t="s">
        <v>256</v>
      </c>
      <c r="E27" s="38" t="s">
        <v>257</v>
      </c>
      <c r="F27" s="38" t="s">
        <v>258</v>
      </c>
      <c r="G27" s="38" t="s">
        <v>259</v>
      </c>
      <c r="H27" s="38"/>
      <c r="I27" s="34" t="s">
        <v>229</v>
      </c>
      <c r="J27" s="34" t="s">
        <v>230</v>
      </c>
      <c r="K27" s="34" t="s">
        <v>231</v>
      </c>
      <c r="L27" s="34" t="s">
        <v>232</v>
      </c>
      <c r="M27" s="34" t="s">
        <v>233</v>
      </c>
      <c r="N27" s="34" t="s">
        <v>234</v>
      </c>
      <c r="O27" s="34" t="s">
        <v>235</v>
      </c>
      <c r="P27" s="34" t="s">
        <v>236</v>
      </c>
      <c r="Q27" s="34" t="s">
        <v>237</v>
      </c>
      <c r="R27" s="34" t="s">
        <v>238</v>
      </c>
      <c r="T27" s="34"/>
      <c r="W27" s="34"/>
      <c r="X27" s="34"/>
      <c r="Y27" s="34"/>
      <c r="Z27" s="34"/>
      <c r="AA27" s="34"/>
      <c r="AB27" s="34"/>
      <c r="AC27" s="34"/>
      <c r="AD27" s="34"/>
      <c r="AE27" s="34"/>
      <c r="AF27" s="34"/>
      <c r="AG27" s="34"/>
      <c r="AH27" s="34"/>
      <c r="AI27" s="4"/>
      <c r="AJ27" s="34"/>
      <c r="AK27" s="34"/>
      <c r="AL27" s="34"/>
      <c r="AM27" s="34"/>
      <c r="AN27" s="34"/>
      <c r="AO27" s="4"/>
      <c r="AP27" s="34"/>
      <c r="AQ27" s="4"/>
      <c r="AR27" s="4"/>
    </row>
    <row r="28">
      <c r="A28" s="37" t="s">
        <v>20</v>
      </c>
      <c r="B28" s="37" t="str">
        <f t="array" ref="B28">_xlfn.XLOOKUP(A28,Sheet5!A:A,Sheet5!B:B,0)</f>
        <v>rajasekar a-8531987157</v>
      </c>
      <c r="C28" s="37">
        <f t="array" ref="C28">_xlfn.XLOOKUP(B28,Sheet5!B:B,Sheet5!C:C,0)</f>
        <v>332</v>
      </c>
      <c r="D28" s="38" t="s">
        <v>260</v>
      </c>
      <c r="E28" s="38" t="s">
        <v>261</v>
      </c>
      <c r="F28" s="38" t="s">
        <v>262</v>
      </c>
      <c r="G28" s="38" t="s">
        <v>263</v>
      </c>
      <c r="H28" s="38"/>
      <c r="I28" s="34" t="s">
        <v>229</v>
      </c>
      <c r="J28" s="34" t="s">
        <v>230</v>
      </c>
      <c r="K28" s="34" t="s">
        <v>231</v>
      </c>
      <c r="L28" s="34" t="s">
        <v>232</v>
      </c>
      <c r="M28" s="34" t="s">
        <v>233</v>
      </c>
      <c r="N28" s="34" t="s">
        <v>234</v>
      </c>
      <c r="O28" s="34" t="s">
        <v>235</v>
      </c>
      <c r="P28" s="34" t="s">
        <v>236</v>
      </c>
      <c r="Q28" s="34" t="s">
        <v>237</v>
      </c>
      <c r="R28" s="34" t="s">
        <v>238</v>
      </c>
      <c r="T28" s="34"/>
      <c r="W28" s="34"/>
      <c r="X28" s="34"/>
      <c r="Y28" s="34"/>
      <c r="Z28" s="34"/>
      <c r="AA28" s="34"/>
      <c r="AB28" s="34"/>
      <c r="AC28" s="34"/>
      <c r="AD28" s="34"/>
      <c r="AE28" s="34"/>
      <c r="AF28" s="34"/>
      <c r="AG28" s="34"/>
      <c r="AH28" s="34"/>
      <c r="AI28" s="4"/>
      <c r="AJ28" s="34"/>
      <c r="AK28" s="34"/>
      <c r="AL28" s="34"/>
      <c r="AM28" s="34"/>
      <c r="AN28" s="34"/>
      <c r="AO28" s="4"/>
      <c r="AP28" s="34"/>
      <c r="AQ28" s="4"/>
      <c r="AR28" s="4"/>
    </row>
    <row r="29">
      <c r="A29" s="37" t="s">
        <v>24</v>
      </c>
      <c r="B29" s="37" t="str">
        <f t="array" ref="B29">_xlfn.XLOOKUP(A29,Sheet5!A:A,Sheet5!B:B,0)</f>
        <v>nathu ram dhiver-9509417717</v>
      </c>
      <c r="C29" s="37">
        <f t="array" ref="C29">_xlfn.XLOOKUP(B29,Sheet5!B:B,Sheet5!C:C,0)</f>
        <v>572</v>
      </c>
      <c r="D29" s="38" t="s">
        <v>264</v>
      </c>
      <c r="E29" s="38" t="s">
        <v>265</v>
      </c>
      <c r="F29" s="38" t="s">
        <v>266</v>
      </c>
      <c r="G29" s="38" t="s">
        <v>267</v>
      </c>
      <c r="H29" s="38"/>
      <c r="I29" s="34" t="s">
        <v>229</v>
      </c>
      <c r="J29" s="34" t="s">
        <v>230</v>
      </c>
      <c r="K29" s="34" t="s">
        <v>231</v>
      </c>
      <c r="L29" s="34" t="s">
        <v>232</v>
      </c>
      <c r="M29" s="34" t="s">
        <v>233</v>
      </c>
      <c r="N29" s="34" t="s">
        <v>234</v>
      </c>
      <c r="O29" s="34" t="s">
        <v>235</v>
      </c>
      <c r="P29" s="34" t="s">
        <v>236</v>
      </c>
      <c r="Q29" s="34" t="s">
        <v>237</v>
      </c>
      <c r="R29" s="34" t="s">
        <v>238</v>
      </c>
      <c r="T29" s="34"/>
      <c r="W29" s="34"/>
      <c r="X29" s="34"/>
      <c r="Y29" s="34"/>
      <c r="Z29" s="34"/>
      <c r="AA29" s="34"/>
      <c r="AB29" s="34"/>
      <c r="AC29" s="34"/>
      <c r="AD29" s="34"/>
      <c r="AE29" s="34"/>
      <c r="AF29" s="34"/>
      <c r="AG29" s="34"/>
      <c r="AH29" s="34"/>
      <c r="AI29" s="4"/>
      <c r="AJ29" s="34"/>
      <c r="AK29" s="34"/>
      <c r="AL29" s="34"/>
      <c r="AM29" s="34"/>
      <c r="AN29" s="34"/>
      <c r="AO29" s="4"/>
      <c r="AP29" s="34"/>
      <c r="AQ29" s="4"/>
      <c r="AR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H12"/>
    <hyperlink r:id="rId24" ref="I12"/>
    <hyperlink r:id="rId25" ref="F13"/>
    <hyperlink r:id="rId26" ref="G13"/>
    <hyperlink r:id="rId27" ref="H13"/>
    <hyperlink r:id="rId28" ref="I13"/>
    <hyperlink r:id="rId29" ref="F14"/>
    <hyperlink r:id="rId30" ref="G14"/>
    <hyperlink r:id="rId31" ref="H14"/>
    <hyperlink r:id="rId32" ref="I14"/>
    <hyperlink r:id="rId33" ref="F15"/>
    <hyperlink r:id="rId34" ref="G15"/>
    <hyperlink r:id="rId35" ref="H15"/>
    <hyperlink r:id="rId36" ref="I15"/>
    <hyperlink r:id="rId37" ref="F16"/>
    <hyperlink r:id="rId38" ref="G16"/>
    <hyperlink r:id="rId39" ref="H16"/>
    <hyperlink r:id="rId40" ref="I16"/>
    <hyperlink r:id="rId41" ref="F17"/>
    <hyperlink r:id="rId42" ref="G17"/>
    <hyperlink r:id="rId43" ref="H17"/>
    <hyperlink r:id="rId44" ref="I17"/>
    <hyperlink r:id="rId45" ref="F18"/>
    <hyperlink r:id="rId46" ref="G18"/>
    <hyperlink r:id="rId47" ref="H18"/>
    <hyperlink r:id="rId48" ref="I18"/>
    <hyperlink r:id="rId49" ref="D22"/>
    <hyperlink r:id="rId50" ref="E22"/>
    <hyperlink r:id="rId51" ref="F22"/>
    <hyperlink r:id="rId52" ref="G22"/>
    <hyperlink r:id="rId53" ref="D23"/>
    <hyperlink r:id="rId54" ref="E23"/>
    <hyperlink r:id="rId55" ref="F23"/>
    <hyperlink r:id="rId56" ref="G23"/>
    <hyperlink r:id="rId57" ref="D24"/>
    <hyperlink r:id="rId58" ref="E24"/>
    <hyperlink r:id="rId59" ref="F24"/>
    <hyperlink r:id="rId60" ref="G24"/>
    <hyperlink r:id="rId61" ref="D25"/>
    <hyperlink r:id="rId62" ref="E25"/>
    <hyperlink r:id="rId63" ref="F25"/>
    <hyperlink r:id="rId64" ref="G25"/>
    <hyperlink r:id="rId65" ref="D26"/>
    <hyperlink r:id="rId66" ref="E26"/>
    <hyperlink r:id="rId67" ref="F26"/>
    <hyperlink r:id="rId68" ref="G26"/>
    <hyperlink r:id="rId69" ref="D27"/>
    <hyperlink r:id="rId70" ref="E27"/>
    <hyperlink r:id="rId71" ref="F27"/>
    <hyperlink r:id="rId72" ref="G27"/>
    <hyperlink r:id="rId73" ref="D28"/>
    <hyperlink r:id="rId74" ref="E28"/>
    <hyperlink r:id="rId75" ref="F28"/>
    <hyperlink r:id="rId76" ref="G28"/>
    <hyperlink r:id="rId77" ref="D29"/>
    <hyperlink r:id="rId78" ref="E29"/>
    <hyperlink r:id="rId79" ref="F29"/>
    <hyperlink r:id="rId80" ref="G29"/>
  </hyperlinks>
  <drawing r:id="rId8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10</v>
      </c>
      <c r="C1" s="2" t="s">
        <v>11</v>
      </c>
    </row>
    <row r="2">
      <c r="A2" s="2" t="s">
        <v>12</v>
      </c>
      <c r="B2" s="2" t="s">
        <v>13</v>
      </c>
      <c r="C2" s="2">
        <v>599.0</v>
      </c>
    </row>
    <row r="3">
      <c r="A3" s="2" t="s">
        <v>14</v>
      </c>
      <c r="B3" s="2" t="s">
        <v>15</v>
      </c>
      <c r="C3" s="2">
        <v>288.0</v>
      </c>
    </row>
    <row r="4">
      <c r="A4" s="2" t="s">
        <v>16</v>
      </c>
      <c r="B4" s="2" t="s">
        <v>17</v>
      </c>
      <c r="C4" s="2">
        <v>237.0</v>
      </c>
    </row>
    <row r="5">
      <c r="A5" s="2" t="s">
        <v>18</v>
      </c>
      <c r="B5" s="2" t="s">
        <v>19</v>
      </c>
      <c r="C5" s="2">
        <v>242.0</v>
      </c>
    </row>
    <row r="6">
      <c r="A6" s="2" t="s">
        <v>20</v>
      </c>
      <c r="B6" s="2" t="s">
        <v>21</v>
      </c>
      <c r="C6" s="2">
        <v>332.0</v>
      </c>
    </row>
    <row r="7">
      <c r="A7" s="2" t="s">
        <v>22</v>
      </c>
      <c r="B7" s="2" t="s">
        <v>23</v>
      </c>
      <c r="C7" s="2">
        <v>567.0</v>
      </c>
    </row>
    <row r="8">
      <c r="A8" s="2" t="s">
        <v>24</v>
      </c>
      <c r="B8" s="2" t="s">
        <v>25</v>
      </c>
      <c r="C8" s="2">
        <v>572.0</v>
      </c>
    </row>
    <row r="9">
      <c r="A9" s="2" t="s">
        <v>26</v>
      </c>
      <c r="B9" s="2" t="s">
        <v>27</v>
      </c>
      <c r="C9" s="2">
        <v>309.0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v>
      </c>
      <c r="B1" s="23" t="s">
        <v>32</v>
      </c>
      <c r="C1" s="23" t="s">
        <v>36</v>
      </c>
      <c r="D1" s="23" t="s">
        <v>37</v>
      </c>
      <c r="E1" s="24" t="s">
        <v>39</v>
      </c>
      <c r="F1" s="24" t="s">
        <v>114</v>
      </c>
      <c r="G1" s="25"/>
      <c r="H1" s="24" t="s">
        <v>117</v>
      </c>
    </row>
    <row r="2">
      <c r="A2" s="26" t="s">
        <v>40</v>
      </c>
      <c r="B2" s="26" t="s">
        <v>41</v>
      </c>
      <c r="C2" s="26" t="s">
        <v>118</v>
      </c>
      <c r="D2" s="26" t="s">
        <v>120</v>
      </c>
      <c r="E2" s="27">
        <v>1.0</v>
      </c>
      <c r="F2" s="27" t="s">
        <v>123</v>
      </c>
      <c r="G2" s="28" t="str">
        <f>IFERROR(__xludf.DUMMYFUNCTION("GEMINI(""make this "" &amp; D2 &amp; "" crisp and short. however it should be easy to comprehend for low literacy people"")"),"Take a bright, clear photo showing the whole product and all edges. Do not blur.")</f>
        <v>Take a bright, clear photo showing the whole product and all edges. Do not blur.</v>
      </c>
      <c r="H2" s="28" t="str">
        <f>IFERROR(__xludf.DUMMYFUNCTION("GEMINI(""make this "" &amp; F2 &amp; "" crisp and short. however easy to comprehend for low literacy people"")"),"Take a bright, clear photo showing the whole product and all edges. Do not blur.")</f>
        <v>Take a bright, clear photo showing the whole product and all edges. Do not blur.</v>
      </c>
      <c r="L2" s="29" t="s">
        <v>123</v>
      </c>
    </row>
    <row r="3">
      <c r="A3" s="26" t="s">
        <v>47</v>
      </c>
      <c r="B3" s="26" t="s">
        <v>41</v>
      </c>
      <c r="C3" s="26" t="s">
        <v>48</v>
      </c>
      <c r="D3" s="26" t="s">
        <v>131</v>
      </c>
      <c r="E3" s="27">
        <v>1.0</v>
      </c>
      <c r="F3" s="27" t="s">
        <v>132</v>
      </c>
      <c r="G3" s="28" t="str">
        <f>IFERROR(__xludf.DUMMYFUNCTION("GEMINI(""make this "" &amp; D3 &amp; "" crisp and short. however it should be easy to comprehend for low literacy people"")"),"Show the whole packet and the label in one clear photo. Do not take a close-up of just the label.")</f>
        <v>Show the whole packet and the label in one clear photo. Do not take a close-up of just the label.</v>
      </c>
      <c r="H3" s="27" t="s">
        <v>49</v>
      </c>
      <c r="L3" s="30" t="s">
        <v>132</v>
      </c>
    </row>
    <row r="4">
      <c r="A4" s="26" t="s">
        <v>55</v>
      </c>
      <c r="B4" s="26" t="s">
        <v>133</v>
      </c>
      <c r="C4" s="26" t="s">
        <v>57</v>
      </c>
      <c r="D4" s="26" t="s">
        <v>134</v>
      </c>
      <c r="E4" s="27">
        <v>1.0</v>
      </c>
      <c r="F4" s="27" t="s">
        <v>135</v>
      </c>
      <c r="G4" s="28" t="str">
        <f>IFERROR(__xludf.DUMMYFUNCTION("GEMINI(""make this "" &amp; D4 &amp; "" crisp and short. however it should be easy to comprehend for low literacy people"")"),"Take one clear photo showing the whole item, its package, and the label. Do not just photograph the label.")</f>
        <v>Take one clear photo showing the whole item, its package, and the label. Do not just photograph the label.</v>
      </c>
      <c r="H4" s="28" t="str">
        <f>IFERROR(__xludf.DUMMYFUNCTION("GEMINI(""make this "" &amp; F4 &amp; "" crisp and short. however easy to comprehend for low literacy people"")"),"Take one clear photo showing the whole item, its package, and the label. Do not just photograph the label.")</f>
        <v>Take one clear photo showing the whole item, its package, and the label. Do not just photograph the label.</v>
      </c>
      <c r="L4" s="29" t="s">
        <v>135</v>
      </c>
    </row>
    <row r="5">
      <c r="A5" s="26" t="s">
        <v>65</v>
      </c>
      <c r="B5" s="26" t="s">
        <v>66</v>
      </c>
      <c r="C5" s="26" t="s">
        <v>67</v>
      </c>
      <c r="D5" s="26" t="s">
        <v>138</v>
      </c>
      <c r="E5" s="27">
        <v>2.0</v>
      </c>
      <c r="F5" s="27" t="s">
        <v>139</v>
      </c>
      <c r="G5" s="28" t="str">
        <f>IFERROR(__xludf.DUMMYFUNCTION("GEMINI(""make this "" &amp; D5 &amp; "" crisp and short. however it should be easy to comprehend for low literacy people"")"),"Give the hub captain the exact package you picked up from the customer.")</f>
        <v>Give the hub captain the exact package you picked up from the customer.</v>
      </c>
      <c r="H5" s="28" t="str">
        <f>IFERROR(__xludf.DUMMYFUNCTION("GEMINI(""make this "" &amp; F5 &amp; "" crisp and short. however it should be easy to comprehend for low literacy people"")"),"Give the hub captain the exact package you picked up from the customer.")</f>
        <v>Give the hub captain the exact package you picked up from the customer.</v>
      </c>
      <c r="L5" s="30" t="s">
        <v>139</v>
      </c>
    </row>
    <row r="6">
      <c r="A6" s="26" t="s">
        <v>72</v>
      </c>
      <c r="B6" s="26" t="s">
        <v>73</v>
      </c>
      <c r="C6" s="26" t="s">
        <v>74</v>
      </c>
      <c r="D6" s="26" t="s">
        <v>140</v>
      </c>
      <c r="E6" s="27">
        <v>3.0</v>
      </c>
      <c r="F6" s="27" t="s">
        <v>141</v>
      </c>
      <c r="G6" s="28" t="str">
        <f>IFERROR(__xludf.DUMMYFUNCTION("GEMINI(""make this "" &amp; D6 &amp; "" crisp and short. however it should be easy to comprehend for low literacy people"")"),"Check the actual item in your hand. Do not guess the answer or mark everything the same.")</f>
        <v>Check the actual item in your hand. Do not guess the answer or mark everything the same.</v>
      </c>
      <c r="H6" s="27" t="s">
        <v>75</v>
      </c>
      <c r="L6" s="29" t="s">
        <v>141</v>
      </c>
    </row>
    <row r="7">
      <c r="A7" s="26" t="s">
        <v>78</v>
      </c>
      <c r="B7" s="26" t="s">
        <v>41</v>
      </c>
      <c r="C7" s="26" t="s">
        <v>83</v>
      </c>
      <c r="D7" s="26" t="s">
        <v>142</v>
      </c>
      <c r="E7" s="27">
        <v>2.0</v>
      </c>
      <c r="F7" s="27" t="s">
        <v>143</v>
      </c>
      <c r="G7" s="28" t="str">
        <f>IFERROR(__xludf.DUMMYFUNCTION("GEMINI(""make this "" &amp; D7 &amp; "" crisp and short. however it should be easy to comprehend for low literacy people"")"),"Fill out the return form carefully.")</f>
        <v>Fill out the return form carefully.</v>
      </c>
      <c r="H7" s="28" t="str">
        <f>IFERROR(__xludf.DUMMYFUNCTION("GEMINI(""make this"" &amp;G7&amp; ""shorter"")"),"Fill out the form carefully.")</f>
        <v>Fill out the form carefully.</v>
      </c>
      <c r="L7" s="30" t="s">
        <v>143</v>
      </c>
    </row>
    <row r="8">
      <c r="A8" s="26" t="s">
        <v>89</v>
      </c>
      <c r="B8" s="26" t="s">
        <v>41</v>
      </c>
      <c r="C8" s="26" t="s">
        <v>90</v>
      </c>
      <c r="D8" s="26" t="s">
        <v>148</v>
      </c>
      <c r="E8" s="27">
        <v>0.0</v>
      </c>
      <c r="F8" s="27"/>
      <c r="G8" s="28" t="str">
        <f>IFERROR(__xludf.DUMMYFUNCTION("GEMINI(""make this "" &amp; D8 &amp; "" crisp and short. however it should be easy to comprehend for low literacy people"")"),"Scan every package at every handoff and keep them safe while traveling. If a lost package is found later, you will get the money back.")</f>
        <v>Scan every package at every handoff and keep them safe while traveling. If a lost package is found later, you will get the money back.</v>
      </c>
      <c r="H8" s="28" t="str">
        <f>IFERROR(__xludf.DUMMYFUNCTION("GEMINI(""make this"" &amp;G8&amp; ""shorter"")"),"Scan every package at each handoff and keep them secure. You will be credited back if a lost package is found.")</f>
        <v>Scan every package at each handoff and keep them secure. You will be credited back if a lost package is found.</v>
      </c>
      <c r="L8" s="31"/>
    </row>
    <row r="9">
      <c r="A9" s="26" t="s">
        <v>94</v>
      </c>
      <c r="B9" s="26" t="s">
        <v>150</v>
      </c>
      <c r="C9" s="26" t="s">
        <v>95</v>
      </c>
      <c r="D9" s="26" t="s">
        <v>151</v>
      </c>
      <c r="E9" s="27">
        <v>1.0</v>
      </c>
      <c r="F9" s="27" t="s">
        <v>152</v>
      </c>
      <c r="G9" s="28" t="str">
        <f>IFERROR(__xludf.DUMMYFUNCTION("GEMINI(""make this "" &amp; D9 &amp; "" crisp and short. however it should be easy to comprehend for low literacy people"")"),"Take one clear photo of the whole item. Do not just show the label. Show all parts asked in the questions.")</f>
        <v>Take one clear photo of the whole item. Do not just show the label. Show all parts asked in the questions.</v>
      </c>
      <c r="H9" s="28" t="str">
        <f>IFERROR(__xludf.DUMMYFUNCTION("GEMINI(""make this"" &amp;G9&amp; ""shorter"")"),"Take one clear photo of the whole item showing all requested parts. Do not just show the label.")</f>
        <v>Take one clear photo of the whole item showing all requested parts. Do not just show the label.</v>
      </c>
      <c r="L9" s="30" t="s">
        <v>152</v>
      </c>
    </row>
    <row r="10">
      <c r="A10" s="26" t="s">
        <v>101</v>
      </c>
      <c r="B10" s="26" t="s">
        <v>133</v>
      </c>
      <c r="C10" s="26" t="s">
        <v>95</v>
      </c>
      <c r="D10" s="26" t="s">
        <v>154</v>
      </c>
      <c r="E10" s="27">
        <v>1.0</v>
      </c>
      <c r="F10" s="27" t="s">
        <v>155</v>
      </c>
      <c r="G10" s="28" t="str">
        <f>IFERROR(__xludf.DUMMYFUNCTION("GEMINI(""make this "" &amp; D10 &amp; "" crisp and short. however it should be easy to comprehend for low literacy people"")"),"Take one clear photo showing the whole item and the readable label. Make sure all details are visible.")</f>
        <v>Take one clear photo showing the whole item and the readable label. Make sure all details are visible.</v>
      </c>
      <c r="H10" s="28" t="str">
        <f>IFERROR(__xludf.DUMMYFUNCTION("GEMINI(""make this"" &amp;G10&amp; ""shorter"")"),"Take one clear photo showing the whole item and readable label with all details visible.")</f>
        <v>Take one clear photo showing the whole item and readable label with all details visible.</v>
      </c>
      <c r="L10" s="29" t="s">
        <v>155</v>
      </c>
    </row>
    <row r="11">
      <c r="A11" s="21" t="s">
        <v>106</v>
      </c>
      <c r="B11" s="26" t="s">
        <v>107</v>
      </c>
      <c r="C11" s="26"/>
      <c r="D11" s="26"/>
      <c r="E11" s="27">
        <v>2.0</v>
      </c>
      <c r="F11" s="27" t="s">
        <v>157</v>
      </c>
      <c r="G11" s="28" t="str">
        <f>IFERROR(__xludf.DUMMYFUNCTION("GEMINI(""make this "" &amp; D11 &amp; "" crisp and short. however it should be easy to comprehend for low literacy people"")"),"I do not have enough information to answer the query. Cell C11 is empty, so there is no text to summarize.")</f>
        <v>I do not have enough information to answer the query. Cell C11 is empty, so there is no text to summarize.</v>
      </c>
      <c r="H11" s="28" t="str">
        <f>IFERROR(__xludf.DUMMYFUNCTION("GEMINI(""make this"" &amp;G11&amp; ""shorter"")"),"Insufficient information to summarize.")</f>
        <v>Insufficient information to summarize.</v>
      </c>
      <c r="L11" s="30" t="s">
        <v>157</v>
      </c>
    </row>
    <row r="12">
      <c r="A12" s="27" t="s">
        <v>110</v>
      </c>
      <c r="B12" s="27" t="s">
        <v>107</v>
      </c>
      <c r="C12" s="27" t="s">
        <v>111</v>
      </c>
      <c r="D12" s="27" t="s">
        <v>158</v>
      </c>
      <c r="E12" s="27">
        <v>0.0</v>
      </c>
      <c r="F12" s="28"/>
      <c r="G12" s="28" t="str">
        <f>IFERROR(__xludf.DUMMYFUNCTION("GEMINI(""make this "" &amp; D12 &amp; "" crisp and short. however it should be easy to comprehend for low literacy people"")"),"Shipments failed dual scanning.")</f>
        <v>Shipments failed dual scanning.</v>
      </c>
      <c r="H12" s="28"/>
    </row>
    <row r="13">
      <c r="A13" s="27" t="s">
        <v>110</v>
      </c>
      <c r="B13" s="27" t="s">
        <v>160</v>
      </c>
      <c r="C13" s="27" t="s">
        <v>111</v>
      </c>
      <c r="D13" s="27" t="s">
        <v>158</v>
      </c>
      <c r="E13" s="27">
        <v>0.0</v>
      </c>
      <c r="F13" s="28"/>
      <c r="G13" s="28" t="str">
        <f>IFERROR(__xludf.DUMMYFUNCTION("GEMINI(""make this "" &amp; D13 &amp; "" crisp and short. however it should be easy to comprehend for low literacy people"")"),"Failed double scan.")</f>
        <v>Failed double scan.</v>
      </c>
      <c r="H13" s="28"/>
    </row>
  </sheetData>
  <drawing r:id="rId1"/>
  <tableParts count="2">
    <tablePart r:id="rId4"/>
    <tablePart r:id="rId5"/>
  </tableParts>
</worksheet>
</file>